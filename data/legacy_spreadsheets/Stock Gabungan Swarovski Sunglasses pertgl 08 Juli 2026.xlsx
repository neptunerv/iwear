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30" windowWidth="28455" windowHeight="12255"/>
  </bookViews>
  <sheets>
    <sheet name="Stock Gabungan Swarovski Sungla" sheetId="1" r:id="rId1"/>
  </sheets>
  <calcPr calcId="0"/>
</workbook>
</file>

<file path=xl/calcChain.xml><?xml version="1.0" encoding="utf-8"?>
<calcChain xmlns="http://schemas.openxmlformats.org/spreadsheetml/2006/main">
  <c r="I122" i="1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H122"/>
  <c r="G122"/>
  <c r="F122"/>
  <c r="E122"/>
  <c r="J122" l="1"/>
</calcChain>
</file>

<file path=xl/sharedStrings.xml><?xml version="1.0" encoding="utf-8"?>
<sst xmlns="http://schemas.openxmlformats.org/spreadsheetml/2006/main" count="478" uniqueCount="298">
  <si>
    <t>SWAROVSKI</t>
  </si>
  <si>
    <t/>
  </si>
  <si>
    <t>SK6001F-1001155</t>
  </si>
  <si>
    <t>6001</t>
  </si>
  <si>
    <t>Pl.Blk/D.Gry, (N.20%)-7/24</t>
  </si>
  <si>
    <t>SK6001F-100283</t>
  </si>
  <si>
    <t>Pl.Hvn/Pol.Brw55, (N.20%)-7/24</t>
  </si>
  <si>
    <t>SK6001F-100355</t>
  </si>
  <si>
    <t>Pl.Wht/L.BlueMirrSilv.55, (N.20%)-7/24</t>
  </si>
  <si>
    <t>SK6001F-100455</t>
  </si>
  <si>
    <t>Pl.OpalBlue/D.Blue55, (N.20%)-7/24</t>
  </si>
  <si>
    <t>SK6002F-1001554</t>
  </si>
  <si>
    <t>6002</t>
  </si>
  <si>
    <t>Pl.Blk/Pink, (N.20%)-9/24</t>
  </si>
  <si>
    <t>SK6002F-100187</t>
  </si>
  <si>
    <t>Pl.Blk/D.Gry54, (N.20%)-7/24, 6/25</t>
  </si>
  <si>
    <t>SK6002F-1002854</t>
  </si>
  <si>
    <t>Pl.D.Hvn/L.Ylw, (N.20%)-4/25</t>
  </si>
  <si>
    <t>SK6002F-10079C</t>
  </si>
  <si>
    <t>Pl.D.Grn/AzureInternalMirrSilv.54, (N.20%)-7/24</t>
  </si>
  <si>
    <t>SK6003F-100111</t>
  </si>
  <si>
    <t>6003</t>
  </si>
  <si>
    <t>Pl.Blk/GryGrd57, (N.20%)-7/24</t>
  </si>
  <si>
    <t>SK6003F-100213</t>
  </si>
  <si>
    <t>Pl.Hvn/BrwGrd57, (N.20%)-7/24</t>
  </si>
  <si>
    <t>SK6003F-103411</t>
  </si>
  <si>
    <t>Pl.OpalineL.Brw/GrdL.Gry57, (N.20%)-7/24</t>
  </si>
  <si>
    <t>SK6004F-100181</t>
  </si>
  <si>
    <t>6004</t>
  </si>
  <si>
    <t>Pl.Blk/D.GryPol.56, (N.20%)-8/24</t>
  </si>
  <si>
    <t>SK6004F-10061U</t>
  </si>
  <si>
    <t>Pl.ClrBlue/L.BluMirrSilvInt56, (N.20%)-7/24</t>
  </si>
  <si>
    <t>SK6004F-1009256</t>
  </si>
  <si>
    <t>Pl.Hvn/D.Grn, (N.20%)-7/24</t>
  </si>
  <si>
    <t>SK6004F-102687</t>
  </si>
  <si>
    <t>Pl.GrnEmerald/D.Gry56, (N.20%)-7/24</t>
  </si>
  <si>
    <t>SK6005-10018G53</t>
  </si>
  <si>
    <t>6005</t>
  </si>
  <si>
    <t>NR-Pl.Blk/GryGrd, (N.20%)-7/24, 6/26</t>
  </si>
  <si>
    <t>SK6005-10091353</t>
  </si>
  <si>
    <t>Pl.MediumHvn/BrwGrd, (N.20%)-7/24</t>
  </si>
  <si>
    <t>SK6005-10232Q53</t>
  </si>
  <si>
    <t>Pl.YlwOpal/YlwGrd, , (N.20%)-7/24</t>
  </si>
  <si>
    <t>SK6005-10244L53</t>
  </si>
  <si>
    <t>Pl.L.BlueOpal/BluGrd, (N.20%)-7/24</t>
  </si>
  <si>
    <t>SK6005-10256853</t>
  </si>
  <si>
    <t>Pl.PinkOpal/BrwGrdViolet, (N.20%)-7/24</t>
  </si>
  <si>
    <t>SK6010F-100273</t>
  </si>
  <si>
    <t>6010</t>
  </si>
  <si>
    <t>Pl.Hvn/D.Brw55, (N.20%)-7/24</t>
  </si>
  <si>
    <t>SK6010F-20020K</t>
  </si>
  <si>
    <t>Pl.Beige/Brz55, (N.20%)-7/24</t>
  </si>
  <si>
    <t>SK6011F-3003LA</t>
  </si>
  <si>
    <t>6011</t>
  </si>
  <si>
    <t>Pl.TranspL.Brw/Violet56, (N.20%)-9/24</t>
  </si>
  <si>
    <t>SK6012-10117352</t>
  </si>
  <si>
    <t>6012</t>
  </si>
  <si>
    <t>Pl.BrwL.Brw/D.Brw, (N.20%)-7/24</t>
  </si>
  <si>
    <t>SK6013-1010154</t>
  </si>
  <si>
    <t>6013</t>
  </si>
  <si>
    <t>SK6013-10188754</t>
  </si>
  <si>
    <t>Pl.Blue/D.Gry, (N.20%)-8/24</t>
  </si>
  <si>
    <t>SK6015D-100187</t>
  </si>
  <si>
    <t>6015</t>
  </si>
  <si>
    <t>Pl.Blk/D.Gry55, (N.20%)-8/24</t>
  </si>
  <si>
    <t>SK6015D-100273</t>
  </si>
  <si>
    <t>Pl.D.Hvn/Brw55, (N.20%)-10/24</t>
  </si>
  <si>
    <t>SK6016F-100187</t>
  </si>
  <si>
    <t>6016</t>
  </si>
  <si>
    <t>Pl.Blk/D.Gry57, (N.20%)-7/24</t>
  </si>
  <si>
    <t>SK6016F-100273</t>
  </si>
  <si>
    <t>Pl.D.Hvn/D.Brw57, (N.20%)-7/24, 6/25</t>
  </si>
  <si>
    <t>SK6017F-1001857</t>
  </si>
  <si>
    <t>6017</t>
  </si>
  <si>
    <t>Pl.Blk/D.Gry, (N.20%)-6/25</t>
  </si>
  <si>
    <t>SK6017F-100187</t>
  </si>
  <si>
    <t>SK6017F-104287</t>
  </si>
  <si>
    <t>Pl.Wht/D.Gry57, (N.20%)-7/24</t>
  </si>
  <si>
    <t>SK6018F-102787</t>
  </si>
  <si>
    <t>6018</t>
  </si>
  <si>
    <t>Pl.Crystal/D.Gry55, (N.20%)-7/24</t>
  </si>
  <si>
    <t>SK6018F-104073</t>
  </si>
  <si>
    <t>Pl.HvnMedia/D.Brw55, (N.20%)-7/24</t>
  </si>
  <si>
    <t>SK6018F-104587</t>
  </si>
  <si>
    <t>Pl.TransD.Grn/D.Gry55, (N.20%)-9/24</t>
  </si>
  <si>
    <t>SK6019F-10317N</t>
  </si>
  <si>
    <t>6019</t>
  </si>
  <si>
    <t>Pl.MilkyPink/L.Purple/Brw54, (N.20%)-7/24</t>
  </si>
  <si>
    <t>SK6019F-10336G</t>
  </si>
  <si>
    <t>Pl.MilkyWht/GryMirrBlk54, (N.20%)-7/24</t>
  </si>
  <si>
    <t>SK6020-10461155</t>
  </si>
  <si>
    <t>6020</t>
  </si>
  <si>
    <t>Pl.Transp.D.GrytoClr/GrdGry, (N.20%)-7/24</t>
  </si>
  <si>
    <t>SK6020-10474L55</t>
  </si>
  <si>
    <t>Pl.Transp.BlutoClr/GrdBlu, (N.20%)-7/24</t>
  </si>
  <si>
    <t>SK6021F-100187</t>
  </si>
  <si>
    <t>6021</t>
  </si>
  <si>
    <t>Pl.Blk/D.Gry54, (N.20%)-7/24</t>
  </si>
  <si>
    <t>SK6021F-20046J</t>
  </si>
  <si>
    <t>Pl.MilkyL.Blue/BlueMirrWht54, (N.20%)-7/24</t>
  </si>
  <si>
    <t>SK6022F-102671</t>
  </si>
  <si>
    <t>6022</t>
  </si>
  <si>
    <t>Pl.D.Grn/D.Grn53, (N.20%)-7/24</t>
  </si>
  <si>
    <t>SK6023D-100187</t>
  </si>
  <si>
    <t>6023</t>
  </si>
  <si>
    <t>Pl.Blk/D.Gry56, (N.20%)-9/24</t>
  </si>
  <si>
    <t>SK6023D-10311N</t>
  </si>
  <si>
    <t>Pl.MilkyPink/L.PurpleBrw56, (N.20%)-7/24</t>
  </si>
  <si>
    <t>SK6023D-200213</t>
  </si>
  <si>
    <t>Pl.OpalBeige/GrdBrw56, (N.20%)-9/24</t>
  </si>
  <si>
    <t>SK6026F-100111</t>
  </si>
  <si>
    <t>6026</t>
  </si>
  <si>
    <t>Pl.Blk/GryGrd56, (N.20%)-6/25</t>
  </si>
  <si>
    <t>SK6026F-100273</t>
  </si>
  <si>
    <t>Pl.Hvn/D.Brw56, (N.20%)-6/25</t>
  </si>
  <si>
    <t>SK6026F-106713</t>
  </si>
  <si>
    <t>Pl.TranspBrw/GrdBrw56, (N.20%)-6/25</t>
  </si>
  <si>
    <t>SK6026F-30038H</t>
  </si>
  <si>
    <t>Pl.TranspBeige/VioletGrd56, (N.20%)-6/25</t>
  </si>
  <si>
    <t>SK6028F-106487</t>
  </si>
  <si>
    <t>6028</t>
  </si>
  <si>
    <t>Pl.TranspGrn/D.Gry55, (N.20%)-6/25</t>
  </si>
  <si>
    <t>SK6028F-30017N</t>
  </si>
  <si>
    <t>Pl.TranspPink/L.PuBrw55, (N.20%)-6/25</t>
  </si>
  <si>
    <t>SK6030F-100187</t>
  </si>
  <si>
    <t>6030</t>
  </si>
  <si>
    <t>Pl.Blk/D.Gry53, (N.20%)-6/25</t>
  </si>
  <si>
    <t>SK6030F-100455</t>
  </si>
  <si>
    <t>Pl.Blue/D/Blue53, (N.20%)-6/25</t>
  </si>
  <si>
    <t>SK6030F-104073</t>
  </si>
  <si>
    <t>Pl.HvnMedio/D.Brw53, (N.20%)-6/25</t>
  </si>
  <si>
    <t>SK6030F-106173</t>
  </si>
  <si>
    <t>Pl.Beige/D.Brw53, (N.20%)-6/25</t>
  </si>
  <si>
    <t>SK6034D-100187</t>
  </si>
  <si>
    <t>6034</t>
  </si>
  <si>
    <t>Pl.Blk/D.Gry56, (N.20%)-8/25</t>
  </si>
  <si>
    <t>SK6034D-10257N</t>
  </si>
  <si>
    <t>Pl.MilkyPink/L.PuBrw56, (N.20%)-6/25</t>
  </si>
  <si>
    <t>SK6034D-106713</t>
  </si>
  <si>
    <t>SK6035D-100187</t>
  </si>
  <si>
    <t>6035</t>
  </si>
  <si>
    <t>Pl.Blk/D.Gry54, (N.20%)-6/25</t>
  </si>
  <si>
    <t>SK6035D-106673</t>
  </si>
  <si>
    <t>Pl.MilkyBeige/Brw54, (N.20%)-6/25</t>
  </si>
  <si>
    <t>SK6036U-108171</t>
  </si>
  <si>
    <t>6036</t>
  </si>
  <si>
    <t>Pl.MilkyD.Grn/D.Grn50, (N.20%)-6/25</t>
  </si>
  <si>
    <t>SK6040F-10278G</t>
  </si>
  <si>
    <t>6040</t>
  </si>
  <si>
    <t>Pl.Sz.52, (N.20%)-6/25</t>
  </si>
  <si>
    <t>SK6041F-100187</t>
  </si>
  <si>
    <t>6041</t>
  </si>
  <si>
    <t>SK6041F-100273</t>
  </si>
  <si>
    <t>Pl.Hvn/D.Brw53, (N.20%)-6/25</t>
  </si>
  <si>
    <t>SK6041F-102671</t>
  </si>
  <si>
    <t>Pl.D.Grn/D.Grn53, (N.20%)-6/25</t>
  </si>
  <si>
    <t>SK6042-10018753</t>
  </si>
  <si>
    <t>6042</t>
  </si>
  <si>
    <t>Pl.Blk/D.Gry, (N.20%)-8/25</t>
  </si>
  <si>
    <t>SK6042-10788753</t>
  </si>
  <si>
    <t>Pl.Transp.L.Blue/D.Gry, (N.20%)-10/25</t>
  </si>
  <si>
    <t>SK6042-1079LA53</t>
  </si>
  <si>
    <t>Mtl.Gold/Grad Brwn (N.20%)-7/25</t>
  </si>
  <si>
    <t>SK6042-1080153</t>
  </si>
  <si>
    <t>Pl.TranspYlw/Gry, (N.20%)-6/25</t>
  </si>
  <si>
    <t>SK6042-3002253</t>
  </si>
  <si>
    <t>Pl.TranspGrn/Grn, (N.20%)-6/25</t>
  </si>
  <si>
    <t>SK6044U-10018G</t>
  </si>
  <si>
    <t>6044</t>
  </si>
  <si>
    <t>Pl.Blk/GrdGry56, (N.20%)-11/25</t>
  </si>
  <si>
    <t>SK6044U-103413</t>
  </si>
  <si>
    <t>Pl.MilkyBeige/GrdBrw56, (N.20%)-11/25</t>
  </si>
  <si>
    <t>SK6048F-103887</t>
  </si>
  <si>
    <t>6048</t>
  </si>
  <si>
    <t>Pl.Blk/D.Gry54, (N.20%)-11/25</t>
  </si>
  <si>
    <t>SK6048F-108473</t>
  </si>
  <si>
    <t>Pl.TranspBrw/D.Brw54, (N.20%)-11/25</t>
  </si>
  <si>
    <t>SK6048F-108571</t>
  </si>
  <si>
    <t>Pl.TranspGrn/D.Grn54, (N.20%)-11/25</t>
  </si>
  <si>
    <t>SK6049F-10018G</t>
  </si>
  <si>
    <t>6049</t>
  </si>
  <si>
    <t>N-Pl.Blk/GrdGry57, (N.20%)-6/26</t>
  </si>
  <si>
    <t>SK6049F-106211</t>
  </si>
  <si>
    <t>Pl.TranspGry/GrdGry57, (N.20%)-11/25</t>
  </si>
  <si>
    <t>SK6049F-106313</t>
  </si>
  <si>
    <t>Pl.TransBeige/BrwGrd57, (N.20%)-11/25</t>
  </si>
  <si>
    <t>SK6050-10878752</t>
  </si>
  <si>
    <t>6050</t>
  </si>
  <si>
    <t>Pl.D.Gry/D.Gry, (N.20%)-11/25</t>
  </si>
  <si>
    <t>SK6051U-104382</t>
  </si>
  <si>
    <t>6051</t>
  </si>
  <si>
    <t>Pl.TranspGrn/Grn53, (N.20%)-11/25</t>
  </si>
  <si>
    <t>SK6051U-108787</t>
  </si>
  <si>
    <t>Pl.D.Gry/D.Gry53, (N.20%)-11/25</t>
  </si>
  <si>
    <t>SK6051U-30017N</t>
  </si>
  <si>
    <t>Sz.53</t>
  </si>
  <si>
    <t>SK6053D-103887</t>
  </si>
  <si>
    <t>6053</t>
  </si>
  <si>
    <t>Pl.Blk/D.Gry55, (N.20%)-11/25</t>
  </si>
  <si>
    <t>SK6053D-106211</t>
  </si>
  <si>
    <t>Pl.TranspGry/GrdGry55, (N.20%)-11/25</t>
  </si>
  <si>
    <t>SK6054D-108474</t>
  </si>
  <si>
    <t>6054</t>
  </si>
  <si>
    <t>Pl.Sz.63</t>
  </si>
  <si>
    <t xml:space="preserve">SK6054D-300311  </t>
  </si>
  <si>
    <t>Pl.TranspBeige/GrdL.Gry63, (N.20%)-11/25</t>
  </si>
  <si>
    <t>SK6063F-10018G</t>
  </si>
  <si>
    <t>6063</t>
  </si>
  <si>
    <t>N-Pl.Blk/GrdGry54, (N.20%)-4/26</t>
  </si>
  <si>
    <t>SK6063F-100274</t>
  </si>
  <si>
    <t>N-Pl.Hvn/GrdBrw54, (N.20%)-4/26</t>
  </si>
  <si>
    <t>SK6064D-100273</t>
  </si>
  <si>
    <t>6064</t>
  </si>
  <si>
    <t>N-Pl.Hvn/D.Brw56, (N.20%)-6/26</t>
  </si>
  <si>
    <t>SK6064D-10340K</t>
  </si>
  <si>
    <t>N-Pl.MilkyBeige/Brz56, (N.20%)-6/26</t>
  </si>
  <si>
    <t>SK6064D-103887</t>
  </si>
  <si>
    <t>N-Pl.Blk/D.Gry56, (N.20%)-6/26</t>
  </si>
  <si>
    <t>SK7001-40027364</t>
  </si>
  <si>
    <t>7001</t>
  </si>
  <si>
    <t>Mtl.Brw/D.Brw, (N.20%)-7/24</t>
  </si>
  <si>
    <t>SK7003-4004257</t>
  </si>
  <si>
    <t>7003</t>
  </si>
  <si>
    <t>Mtl.Gld.D.Grn, (N.20%)-7/24</t>
  </si>
  <si>
    <t>SK7005-4004T561</t>
  </si>
  <si>
    <t>7005</t>
  </si>
  <si>
    <t>Mtl.Gld/Pol.GrdBrw (N.20%)-9/24</t>
  </si>
  <si>
    <t>SK7005-40098F61</t>
  </si>
  <si>
    <t>Mtl.GunMtl/BlueGrdGry, (N.20%)-7/24</t>
  </si>
  <si>
    <t>SK7005-4010E861</t>
  </si>
  <si>
    <t>Mtl.Blk/GrnGrdBrw, (N.20%)-9/24</t>
  </si>
  <si>
    <t>SK7006-4003U558</t>
  </si>
  <si>
    <t>7006</t>
  </si>
  <si>
    <t>Mtl.D.Ylw/ClrMirrRealYlwGld, (N.20%)-7/24</t>
  </si>
  <si>
    <t>SK7006-40155558</t>
  </si>
  <si>
    <t>Mtl.D.Silv/D.Blue, (N.20%)-7/24</t>
  </si>
  <si>
    <t>SK7007-40178253</t>
  </si>
  <si>
    <t>7007</t>
  </si>
  <si>
    <t>Mtl.Gld/L.Grn, (N.20%)-7/24</t>
  </si>
  <si>
    <t>SK7008-40131157</t>
  </si>
  <si>
    <t>7008</t>
  </si>
  <si>
    <t>Mtl.PaleGld/Neutral GrdL.Gry, (N.20%)-7/24</t>
  </si>
  <si>
    <t>SK7010-40068759</t>
  </si>
  <si>
    <t>7010</t>
  </si>
  <si>
    <t>Mtl.GunMtl/D.Gry, (N.20%)-7/24</t>
  </si>
  <si>
    <t>SK7012D-400213</t>
  </si>
  <si>
    <t>7012</t>
  </si>
  <si>
    <t>Mtl.Brz/GrdBrw57, (N.20%)-8/24</t>
  </si>
  <si>
    <t>SK7012D-401311</t>
  </si>
  <si>
    <t>Mtl.PaleGld/GryGrd57, (N.20%)-7/24</t>
  </si>
  <si>
    <t>SK7014-40147N58</t>
  </si>
  <si>
    <t>7014</t>
  </si>
  <si>
    <t>Mtl.RoseGld/L.PurpleBrw, (N.20%)-7/24</t>
  </si>
  <si>
    <t>SK7015-4004E856</t>
  </si>
  <si>
    <t>7015</t>
  </si>
  <si>
    <t>Mtl.Gld/GrnGrdBrw, (N.20%)-7/24</t>
  </si>
  <si>
    <t>SK7015-40094U56</t>
  </si>
  <si>
    <t>Mtl.GunMtl/Pol.BlueGrd, (N.20%)-8/24</t>
  </si>
  <si>
    <t>SK7021D-400111</t>
  </si>
  <si>
    <t>7021</t>
  </si>
  <si>
    <t>M.Silv/GrdGry59, (N.20%)-7/24</t>
  </si>
  <si>
    <t>SK7021D-40132Q</t>
  </si>
  <si>
    <t>Mtl.PaleGld/ClrGrdYlw59, (N.20%)-7/24</t>
  </si>
  <si>
    <t>SK7023-40138D37</t>
  </si>
  <si>
    <t>7023</t>
  </si>
  <si>
    <t>Mtl.PaleGld/ClrGrdPink. (N.20%)-8/24</t>
  </si>
  <si>
    <t>SK7026-40348752</t>
  </si>
  <si>
    <t>7026</t>
  </si>
  <si>
    <t>Mtl.Blk(Olympian)/D.Gry, (N.20%)-6/25</t>
  </si>
  <si>
    <t>SK7031-4017E859</t>
  </si>
  <si>
    <t>7031</t>
  </si>
  <si>
    <t>SK7031-4036U759</t>
  </si>
  <si>
    <t>Mtl.Gld/TriGrdLtBrw/BlueViolet, (N.20%)-8/25</t>
  </si>
  <si>
    <t>SK7034-404G8256</t>
  </si>
  <si>
    <t>7034</t>
  </si>
  <si>
    <t>N-Mtl.Gld/L.Grn, (N.20%)-6/26</t>
  </si>
  <si>
    <t>SK7035D-401374</t>
  </si>
  <si>
    <t>7035</t>
  </si>
  <si>
    <t>Mtl.PaleGld/GrdBrw53, (N.20%)-6/25</t>
  </si>
  <si>
    <t>SK7035D-40147N</t>
  </si>
  <si>
    <t>Mtl.RoseGld/L.PuBrw53, (N.20%)-6/25</t>
  </si>
  <si>
    <t>SK7037-40077458</t>
  </si>
  <si>
    <t>7037</t>
  </si>
  <si>
    <t>Mtl.D.Gld/GrdBrw, (N.20%)-11/25</t>
  </si>
  <si>
    <t>SK7037-40172A58</t>
  </si>
  <si>
    <t>Mtl.Gld/GrdGrn, (N.20%)-11/25</t>
  </si>
  <si>
    <t>KODE</t>
  </si>
  <si>
    <t>MODEL</t>
  </si>
  <si>
    <t>WARNA</t>
  </si>
  <si>
    <t>HARGA SATUAN</t>
  </si>
  <si>
    <t>VENDOR IN</t>
  </si>
  <si>
    <t>GD</t>
  </si>
  <si>
    <t>BCH</t>
  </si>
  <si>
    <t>ICN</t>
  </si>
  <si>
    <t>ESY</t>
  </si>
  <si>
    <t>TOTAL STOCK</t>
  </si>
  <si>
    <t>T O T A L</t>
  </si>
  <si>
    <t>LAPORAN FORMASI STOCK GABUNGAN PERTGL 08 JULI 2026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</si>
</sst>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5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Protection="1">
      <protection locked="0"/>
    </xf>
    <xf numFmtId="165" fontId="0" fillId="0" borderId="0" xfId="1" applyNumberFormat="1" applyFont="1" applyProtection="1">
      <protection locked="0"/>
    </xf>
    <xf numFmtId="0" fontId="16" fillId="33" borderId="10" xfId="0" applyFont="1" applyFill="1" applyBorder="1" applyAlignment="1" applyProtection="1">
      <alignment horizontal="center" vertical="center" wrapText="1"/>
      <protection locked="0"/>
    </xf>
    <xf numFmtId="0" fontId="16" fillId="33" borderId="11" xfId="0" applyFont="1" applyFill="1" applyBorder="1" applyAlignment="1" applyProtection="1">
      <alignment horizontal="center" vertical="center" wrapText="1"/>
      <protection locked="0"/>
    </xf>
    <xf numFmtId="165" fontId="16" fillId="33" borderId="11" xfId="1" applyNumberFormat="1" applyFont="1" applyFill="1" applyBorder="1" applyAlignment="1" applyProtection="1">
      <alignment horizontal="center" vertical="center" wrapText="1"/>
      <protection locked="0"/>
    </xf>
    <xf numFmtId="0" fontId="16" fillId="33" borderId="11" xfId="0" applyFont="1" applyFill="1" applyBorder="1" applyAlignment="1" applyProtection="1">
      <alignment horizontal="center" vertical="center"/>
      <protection locked="0"/>
    </xf>
    <xf numFmtId="0" fontId="16" fillId="33" borderId="12" xfId="0" applyFont="1" applyFill="1" applyBorder="1" applyAlignment="1" applyProtection="1">
      <alignment horizontal="center" vertical="center" wrapText="1"/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16" fillId="0" borderId="13" xfId="0" applyFont="1" applyBorder="1" applyAlignment="1" applyProtection="1">
      <alignment horizontal="center"/>
      <protection locked="0"/>
    </xf>
    <xf numFmtId="0" fontId="16" fillId="0" borderId="14" xfId="0" applyFont="1" applyBorder="1" applyAlignment="1" applyProtection="1">
      <alignment horizontal="center"/>
      <protection locked="0"/>
    </xf>
    <xf numFmtId="0" fontId="16" fillId="0" borderId="15" xfId="0" applyFont="1" applyBorder="1" applyAlignment="1" applyProtection="1">
      <alignment horizontal="center"/>
      <protection locked="0"/>
    </xf>
    <xf numFmtId="0" fontId="0" fillId="0" borderId="16" xfId="0" applyBorder="1" applyProtection="1">
      <protection locked="0"/>
    </xf>
    <xf numFmtId="165" fontId="0" fillId="0" borderId="16" xfId="1" applyNumberFormat="1" applyFont="1" applyBorder="1" applyProtection="1">
      <protection locked="0"/>
    </xf>
    <xf numFmtId="0" fontId="16" fillId="33" borderId="13" xfId="0" applyFont="1" applyFill="1" applyBorder="1" applyProtection="1">
      <protection locked="0"/>
    </xf>
    <xf numFmtId="165" fontId="16" fillId="33" borderId="14" xfId="1" applyNumberFormat="1" applyFont="1" applyFill="1" applyBorder="1" applyProtection="1">
      <protection locked="0"/>
    </xf>
    <xf numFmtId="0" fontId="16" fillId="33" borderId="14" xfId="0" applyFont="1" applyFill="1" applyBorder="1" applyAlignment="1" applyProtection="1">
      <alignment horizontal="center"/>
      <protection locked="0"/>
    </xf>
    <xf numFmtId="0" fontId="0" fillId="0" borderId="17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20" xfId="0" applyBorder="1" applyProtection="1">
      <protection locked="0"/>
    </xf>
    <xf numFmtId="165" fontId="0" fillId="0" borderId="20" xfId="1" applyNumberFormat="1" applyFont="1" applyBorder="1" applyProtection="1">
      <protection locked="0"/>
    </xf>
    <xf numFmtId="0" fontId="16" fillId="33" borderId="15" xfId="0" applyFont="1" applyFill="1" applyBorder="1" applyAlignment="1" applyProtection="1">
      <alignment horizontal="center"/>
      <protection locked="0"/>
    </xf>
    <xf numFmtId="0" fontId="0" fillId="0" borderId="16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/>
      <protection locked="0"/>
    </xf>
    <xf numFmtId="0" fontId="0" fillId="0" borderId="2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2"/>
  <sheetViews>
    <sheetView tabSelected="1" workbookViewId="0">
      <selection activeCell="M8" sqref="M8"/>
    </sheetView>
  </sheetViews>
  <sheetFormatPr defaultRowHeight="15"/>
  <cols>
    <col min="1" max="1" width="16.42578125" style="1" bestFit="1" customWidth="1"/>
    <col min="2" max="2" width="10.42578125" style="26" customWidth="1"/>
    <col min="3" max="3" width="44.42578125" style="1" bestFit="1" customWidth="1"/>
    <col min="4" max="4" width="13.28515625" style="2" bestFit="1" customWidth="1"/>
    <col min="5" max="5" width="9.140625" style="1"/>
    <col min="6" max="9" width="5.7109375" style="1" customWidth="1"/>
    <col min="10" max="10" width="8.28515625" style="1" customWidth="1"/>
    <col min="11" max="16384" width="9.140625" style="1"/>
  </cols>
  <sheetData>
    <row r="1" spans="1:10" ht="15.75" thickBot="1">
      <c r="A1" s="8" t="s">
        <v>297</v>
      </c>
      <c r="B1" s="8"/>
      <c r="C1" s="8"/>
      <c r="D1" s="8"/>
      <c r="E1" s="8"/>
      <c r="F1" s="8"/>
      <c r="G1" s="8"/>
      <c r="H1" s="8"/>
      <c r="I1" s="8"/>
      <c r="J1" s="8"/>
    </row>
    <row r="2" spans="1:10" ht="30.75" thickBot="1">
      <c r="A2" s="3" t="s">
        <v>286</v>
      </c>
      <c r="B2" s="4" t="s">
        <v>287</v>
      </c>
      <c r="C2" s="4" t="s">
        <v>288</v>
      </c>
      <c r="D2" s="5" t="s">
        <v>289</v>
      </c>
      <c r="E2" s="5" t="s">
        <v>290</v>
      </c>
      <c r="F2" s="6" t="s">
        <v>291</v>
      </c>
      <c r="G2" s="4" t="s">
        <v>292</v>
      </c>
      <c r="H2" s="4" t="s">
        <v>293</v>
      </c>
      <c r="I2" s="6" t="s">
        <v>294</v>
      </c>
      <c r="J2" s="7" t="s">
        <v>295</v>
      </c>
    </row>
    <row r="3" spans="1:10" ht="15.75" thickBot="1">
      <c r="A3" s="9" t="s">
        <v>0</v>
      </c>
      <c r="B3" s="10"/>
      <c r="C3" s="10"/>
      <c r="D3" s="10"/>
      <c r="E3" s="10"/>
      <c r="F3" s="10"/>
      <c r="G3" s="10"/>
      <c r="H3" s="10"/>
      <c r="I3" s="10"/>
      <c r="J3" s="11"/>
    </row>
    <row r="4" spans="1:10">
      <c r="A4" s="17" t="s">
        <v>2</v>
      </c>
      <c r="B4" s="22" t="s">
        <v>3</v>
      </c>
      <c r="C4" s="12" t="s">
        <v>4</v>
      </c>
      <c r="D4" s="13">
        <v>4920000</v>
      </c>
      <c r="E4" s="22"/>
      <c r="F4" s="22">
        <v>0</v>
      </c>
      <c r="G4" s="22">
        <v>0</v>
      </c>
      <c r="H4" s="22" t="s">
        <v>1</v>
      </c>
      <c r="I4" s="22"/>
      <c r="J4" s="23">
        <f t="shared" ref="J4:J66" si="0">SUM(E4:I4)</f>
        <v>0</v>
      </c>
    </row>
    <row r="5" spans="1:10">
      <c r="A5" s="17" t="s">
        <v>5</v>
      </c>
      <c r="B5" s="22" t="s">
        <v>3</v>
      </c>
      <c r="C5" s="12" t="s">
        <v>6</v>
      </c>
      <c r="D5" s="13">
        <v>5580000</v>
      </c>
      <c r="E5" s="22"/>
      <c r="F5" s="22">
        <v>0</v>
      </c>
      <c r="G5" s="22">
        <v>0</v>
      </c>
      <c r="H5" s="22" t="s">
        <v>1</v>
      </c>
      <c r="I5" s="22"/>
      <c r="J5" s="23">
        <f t="shared" si="0"/>
        <v>0</v>
      </c>
    </row>
    <row r="6" spans="1:10">
      <c r="A6" s="17" t="s">
        <v>7</v>
      </c>
      <c r="B6" s="22" t="s">
        <v>3</v>
      </c>
      <c r="C6" s="12" t="s">
        <v>8</v>
      </c>
      <c r="D6" s="13">
        <v>4920000</v>
      </c>
      <c r="E6" s="22"/>
      <c r="F6" s="22">
        <v>0</v>
      </c>
      <c r="G6" s="22">
        <v>0</v>
      </c>
      <c r="H6" s="22" t="s">
        <v>1</v>
      </c>
      <c r="I6" s="22"/>
      <c r="J6" s="23">
        <f t="shared" si="0"/>
        <v>0</v>
      </c>
    </row>
    <row r="7" spans="1:10">
      <c r="A7" s="17" t="s">
        <v>9</v>
      </c>
      <c r="B7" s="22" t="s">
        <v>3</v>
      </c>
      <c r="C7" s="12" t="s">
        <v>10</v>
      </c>
      <c r="D7" s="13">
        <v>4920000</v>
      </c>
      <c r="E7" s="22"/>
      <c r="F7" s="22">
        <v>0</v>
      </c>
      <c r="G7" s="22">
        <v>0</v>
      </c>
      <c r="H7" s="22" t="s">
        <v>1</v>
      </c>
      <c r="I7" s="22"/>
      <c r="J7" s="23">
        <f t="shared" si="0"/>
        <v>0</v>
      </c>
    </row>
    <row r="8" spans="1:10">
      <c r="A8" s="17" t="s">
        <v>11</v>
      </c>
      <c r="B8" s="22" t="s">
        <v>12</v>
      </c>
      <c r="C8" s="12" t="s">
        <v>13</v>
      </c>
      <c r="D8" s="13">
        <v>4920000</v>
      </c>
      <c r="E8" s="22"/>
      <c r="F8" s="22">
        <v>0</v>
      </c>
      <c r="G8" s="22">
        <v>0</v>
      </c>
      <c r="H8" s="22" t="s">
        <v>1</v>
      </c>
      <c r="I8" s="22"/>
      <c r="J8" s="23">
        <f t="shared" si="0"/>
        <v>0</v>
      </c>
    </row>
    <row r="9" spans="1:10">
      <c r="A9" s="17" t="s">
        <v>14</v>
      </c>
      <c r="B9" s="22" t="s">
        <v>12</v>
      </c>
      <c r="C9" s="12" t="s">
        <v>15</v>
      </c>
      <c r="D9" s="13">
        <v>4920000</v>
      </c>
      <c r="E9" s="22"/>
      <c r="F9" s="22">
        <v>0</v>
      </c>
      <c r="G9" s="22">
        <v>0</v>
      </c>
      <c r="H9" s="22" t="s">
        <v>1</v>
      </c>
      <c r="I9" s="22"/>
      <c r="J9" s="23">
        <f t="shared" si="0"/>
        <v>0</v>
      </c>
    </row>
    <row r="10" spans="1:10">
      <c r="A10" s="17" t="s">
        <v>16</v>
      </c>
      <c r="B10" s="22" t="s">
        <v>12</v>
      </c>
      <c r="C10" s="12" t="s">
        <v>17</v>
      </c>
      <c r="D10" s="13">
        <v>4920000</v>
      </c>
      <c r="E10" s="22"/>
      <c r="F10" s="22">
        <v>0</v>
      </c>
      <c r="G10" s="22">
        <v>0</v>
      </c>
      <c r="H10" s="22" t="s">
        <v>1</v>
      </c>
      <c r="I10" s="22"/>
      <c r="J10" s="23">
        <f t="shared" si="0"/>
        <v>0</v>
      </c>
    </row>
    <row r="11" spans="1:10">
      <c r="A11" s="17" t="s">
        <v>18</v>
      </c>
      <c r="B11" s="22" t="s">
        <v>12</v>
      </c>
      <c r="C11" s="12" t="s">
        <v>19</v>
      </c>
      <c r="D11" s="13">
        <v>5580000</v>
      </c>
      <c r="E11" s="22"/>
      <c r="F11" s="22">
        <v>0</v>
      </c>
      <c r="G11" s="22">
        <v>0</v>
      </c>
      <c r="H11" s="22">
        <v>1</v>
      </c>
      <c r="I11" s="22"/>
      <c r="J11" s="23">
        <f t="shared" si="0"/>
        <v>1</v>
      </c>
    </row>
    <row r="12" spans="1:10">
      <c r="A12" s="17" t="s">
        <v>20</v>
      </c>
      <c r="B12" s="22" t="s">
        <v>21</v>
      </c>
      <c r="C12" s="12" t="s">
        <v>22</v>
      </c>
      <c r="D12" s="13">
        <v>3450000</v>
      </c>
      <c r="E12" s="22"/>
      <c r="F12" s="22">
        <v>0</v>
      </c>
      <c r="G12" s="22">
        <v>0</v>
      </c>
      <c r="H12" s="22">
        <v>1</v>
      </c>
      <c r="I12" s="22"/>
      <c r="J12" s="23">
        <f t="shared" si="0"/>
        <v>1</v>
      </c>
    </row>
    <row r="13" spans="1:10">
      <c r="A13" s="17" t="s">
        <v>23</v>
      </c>
      <c r="B13" s="22" t="s">
        <v>21</v>
      </c>
      <c r="C13" s="12" t="s">
        <v>24</v>
      </c>
      <c r="D13" s="13">
        <v>3450000</v>
      </c>
      <c r="E13" s="22"/>
      <c r="F13" s="22">
        <v>0</v>
      </c>
      <c r="G13" s="22">
        <v>0</v>
      </c>
      <c r="H13" s="22" t="s">
        <v>1</v>
      </c>
      <c r="I13" s="22"/>
      <c r="J13" s="23">
        <f t="shared" si="0"/>
        <v>0</v>
      </c>
    </row>
    <row r="14" spans="1:10">
      <c r="A14" s="17" t="s">
        <v>25</v>
      </c>
      <c r="B14" s="22" t="s">
        <v>21</v>
      </c>
      <c r="C14" s="12" t="s">
        <v>26</v>
      </c>
      <c r="D14" s="13">
        <v>3450000</v>
      </c>
      <c r="E14" s="22"/>
      <c r="F14" s="22">
        <v>0</v>
      </c>
      <c r="G14" s="22">
        <v>1</v>
      </c>
      <c r="H14" s="22" t="s">
        <v>1</v>
      </c>
      <c r="I14" s="22"/>
      <c r="J14" s="23">
        <f t="shared" si="0"/>
        <v>1</v>
      </c>
    </row>
    <row r="15" spans="1:10">
      <c r="A15" s="17" t="s">
        <v>27</v>
      </c>
      <c r="B15" s="22" t="s">
        <v>28</v>
      </c>
      <c r="C15" s="12" t="s">
        <v>29</v>
      </c>
      <c r="D15" s="13">
        <v>4060000</v>
      </c>
      <c r="E15" s="22"/>
      <c r="F15" s="22">
        <v>0</v>
      </c>
      <c r="G15" s="22">
        <v>0</v>
      </c>
      <c r="H15" s="22" t="s">
        <v>1</v>
      </c>
      <c r="I15" s="22"/>
      <c r="J15" s="23">
        <f t="shared" si="0"/>
        <v>0</v>
      </c>
    </row>
    <row r="16" spans="1:10">
      <c r="A16" s="17" t="s">
        <v>30</v>
      </c>
      <c r="B16" s="22" t="s">
        <v>28</v>
      </c>
      <c r="C16" s="12" t="s">
        <v>31</v>
      </c>
      <c r="D16" s="13">
        <v>4060000</v>
      </c>
      <c r="E16" s="22"/>
      <c r="F16" s="22">
        <v>0</v>
      </c>
      <c r="G16" s="22">
        <v>0</v>
      </c>
      <c r="H16" s="22">
        <v>1</v>
      </c>
      <c r="I16" s="22"/>
      <c r="J16" s="23">
        <f t="shared" si="0"/>
        <v>1</v>
      </c>
    </row>
    <row r="17" spans="1:10">
      <c r="A17" s="17" t="s">
        <v>32</v>
      </c>
      <c r="B17" s="22" t="s">
        <v>28</v>
      </c>
      <c r="C17" s="12" t="s">
        <v>33</v>
      </c>
      <c r="D17" s="13">
        <v>3450000</v>
      </c>
      <c r="E17" s="22"/>
      <c r="F17" s="22">
        <v>0</v>
      </c>
      <c r="G17" s="22">
        <v>1</v>
      </c>
      <c r="H17" s="22" t="s">
        <v>1</v>
      </c>
      <c r="I17" s="22"/>
      <c r="J17" s="23">
        <f t="shared" si="0"/>
        <v>1</v>
      </c>
    </row>
    <row r="18" spans="1:10">
      <c r="A18" s="17" t="s">
        <v>34</v>
      </c>
      <c r="B18" s="22" t="s">
        <v>28</v>
      </c>
      <c r="C18" s="12" t="s">
        <v>35</v>
      </c>
      <c r="D18" s="13">
        <v>3450000</v>
      </c>
      <c r="E18" s="22"/>
      <c r="F18" s="22">
        <v>0</v>
      </c>
      <c r="G18" s="22">
        <v>0</v>
      </c>
      <c r="H18" s="22" t="s">
        <v>1</v>
      </c>
      <c r="I18" s="22"/>
      <c r="J18" s="23">
        <f t="shared" si="0"/>
        <v>0</v>
      </c>
    </row>
    <row r="19" spans="1:10">
      <c r="A19" s="17" t="s">
        <v>36</v>
      </c>
      <c r="B19" s="22" t="s">
        <v>37</v>
      </c>
      <c r="C19" s="12" t="s">
        <v>38</v>
      </c>
      <c r="D19" s="13">
        <v>3470000</v>
      </c>
      <c r="E19" s="22"/>
      <c r="F19" s="22">
        <v>1</v>
      </c>
      <c r="G19" s="22">
        <v>0</v>
      </c>
      <c r="H19" s="22" t="s">
        <v>1</v>
      </c>
      <c r="I19" s="22"/>
      <c r="J19" s="23">
        <f t="shared" si="0"/>
        <v>1</v>
      </c>
    </row>
    <row r="20" spans="1:10">
      <c r="A20" s="17" t="s">
        <v>39</v>
      </c>
      <c r="B20" s="22" t="s">
        <v>37</v>
      </c>
      <c r="C20" s="12" t="s">
        <v>40</v>
      </c>
      <c r="D20" s="13">
        <v>3450000</v>
      </c>
      <c r="E20" s="22"/>
      <c r="F20" s="22">
        <v>0</v>
      </c>
      <c r="G20" s="22">
        <v>0</v>
      </c>
      <c r="H20" s="22">
        <v>1</v>
      </c>
      <c r="I20" s="22"/>
      <c r="J20" s="23">
        <f t="shared" si="0"/>
        <v>1</v>
      </c>
    </row>
    <row r="21" spans="1:10">
      <c r="A21" s="17" t="s">
        <v>41</v>
      </c>
      <c r="B21" s="22" t="s">
        <v>37</v>
      </c>
      <c r="C21" s="12" t="s">
        <v>42</v>
      </c>
      <c r="D21" s="13">
        <v>3450000</v>
      </c>
      <c r="E21" s="22"/>
      <c r="F21" s="22">
        <v>0</v>
      </c>
      <c r="G21" s="22">
        <v>0</v>
      </c>
      <c r="H21" s="22" t="s">
        <v>1</v>
      </c>
      <c r="I21" s="22"/>
      <c r="J21" s="23">
        <f t="shared" si="0"/>
        <v>0</v>
      </c>
    </row>
    <row r="22" spans="1:10">
      <c r="A22" s="17" t="s">
        <v>43</v>
      </c>
      <c r="B22" s="22" t="s">
        <v>37</v>
      </c>
      <c r="C22" s="12" t="s">
        <v>44</v>
      </c>
      <c r="D22" s="13">
        <v>3450000</v>
      </c>
      <c r="E22" s="22"/>
      <c r="F22" s="22">
        <v>0</v>
      </c>
      <c r="G22" s="22">
        <v>0</v>
      </c>
      <c r="H22" s="22" t="s">
        <v>1</v>
      </c>
      <c r="I22" s="22"/>
      <c r="J22" s="23">
        <f t="shared" si="0"/>
        <v>0</v>
      </c>
    </row>
    <row r="23" spans="1:10">
      <c r="A23" s="17" t="s">
        <v>45</v>
      </c>
      <c r="B23" s="22" t="s">
        <v>37</v>
      </c>
      <c r="C23" s="12" t="s">
        <v>46</v>
      </c>
      <c r="D23" s="13">
        <v>3450000</v>
      </c>
      <c r="E23" s="22"/>
      <c r="F23" s="22">
        <v>0</v>
      </c>
      <c r="G23" s="22">
        <v>0</v>
      </c>
      <c r="H23" s="22" t="s">
        <v>1</v>
      </c>
      <c r="I23" s="22"/>
      <c r="J23" s="23">
        <f t="shared" si="0"/>
        <v>0</v>
      </c>
    </row>
    <row r="24" spans="1:10">
      <c r="A24" s="17" t="s">
        <v>47</v>
      </c>
      <c r="B24" s="22" t="s">
        <v>48</v>
      </c>
      <c r="C24" s="12" t="s">
        <v>49</v>
      </c>
      <c r="D24" s="13">
        <v>5350000</v>
      </c>
      <c r="E24" s="22"/>
      <c r="F24" s="22">
        <v>0</v>
      </c>
      <c r="G24" s="22">
        <v>0</v>
      </c>
      <c r="H24" s="22" t="s">
        <v>1</v>
      </c>
      <c r="I24" s="22"/>
      <c r="J24" s="23">
        <f t="shared" si="0"/>
        <v>0</v>
      </c>
    </row>
    <row r="25" spans="1:10">
      <c r="A25" s="17" t="s">
        <v>50</v>
      </c>
      <c r="B25" s="22" t="s">
        <v>48</v>
      </c>
      <c r="C25" s="12" t="s">
        <v>51</v>
      </c>
      <c r="D25" s="13">
        <v>5350000</v>
      </c>
      <c r="E25" s="22"/>
      <c r="F25" s="22">
        <v>0</v>
      </c>
      <c r="G25" s="22">
        <v>0</v>
      </c>
      <c r="H25" s="22" t="s">
        <v>1</v>
      </c>
      <c r="I25" s="22"/>
      <c r="J25" s="23">
        <f t="shared" si="0"/>
        <v>0</v>
      </c>
    </row>
    <row r="26" spans="1:10">
      <c r="A26" s="17" t="s">
        <v>52</v>
      </c>
      <c r="B26" s="22" t="s">
        <v>53</v>
      </c>
      <c r="C26" s="12" t="s">
        <v>54</v>
      </c>
      <c r="D26" s="13">
        <v>4920000</v>
      </c>
      <c r="E26" s="22"/>
      <c r="F26" s="22">
        <v>0</v>
      </c>
      <c r="G26" s="22">
        <v>0</v>
      </c>
      <c r="H26" s="22" t="s">
        <v>1</v>
      </c>
      <c r="I26" s="22"/>
      <c r="J26" s="23">
        <f t="shared" si="0"/>
        <v>0</v>
      </c>
    </row>
    <row r="27" spans="1:10">
      <c r="A27" s="17" t="s">
        <v>55</v>
      </c>
      <c r="B27" s="22" t="s">
        <v>56</v>
      </c>
      <c r="C27" s="12" t="s">
        <v>57</v>
      </c>
      <c r="D27" s="13">
        <v>6650000</v>
      </c>
      <c r="E27" s="22"/>
      <c r="F27" s="22">
        <v>0</v>
      </c>
      <c r="G27" s="22">
        <v>0</v>
      </c>
      <c r="H27" s="22" t="s">
        <v>1</v>
      </c>
      <c r="I27" s="22"/>
      <c r="J27" s="23">
        <f t="shared" si="0"/>
        <v>0</v>
      </c>
    </row>
    <row r="28" spans="1:10">
      <c r="A28" s="17" t="s">
        <v>58</v>
      </c>
      <c r="B28" s="22" t="s">
        <v>59</v>
      </c>
      <c r="C28" s="12" t="s">
        <v>4</v>
      </c>
      <c r="D28" s="13">
        <v>5350000</v>
      </c>
      <c r="E28" s="22"/>
      <c r="F28" s="22">
        <v>0</v>
      </c>
      <c r="G28" s="22">
        <v>1</v>
      </c>
      <c r="H28" s="22" t="s">
        <v>1</v>
      </c>
      <c r="I28" s="22"/>
      <c r="J28" s="23">
        <f t="shared" si="0"/>
        <v>1</v>
      </c>
    </row>
    <row r="29" spans="1:10">
      <c r="A29" s="17" t="s">
        <v>60</v>
      </c>
      <c r="B29" s="22" t="s">
        <v>59</v>
      </c>
      <c r="C29" s="12" t="s">
        <v>61</v>
      </c>
      <c r="D29" s="13">
        <v>5350000</v>
      </c>
      <c r="E29" s="22"/>
      <c r="F29" s="22">
        <v>0</v>
      </c>
      <c r="G29" s="22">
        <v>0</v>
      </c>
      <c r="H29" s="22" t="s">
        <v>1</v>
      </c>
      <c r="I29" s="22"/>
      <c r="J29" s="23">
        <f t="shared" si="0"/>
        <v>0</v>
      </c>
    </row>
    <row r="30" spans="1:10">
      <c r="A30" s="17" t="s">
        <v>62</v>
      </c>
      <c r="B30" s="22" t="s">
        <v>63</v>
      </c>
      <c r="C30" s="12" t="s">
        <v>64</v>
      </c>
      <c r="D30" s="13">
        <v>4060000</v>
      </c>
      <c r="E30" s="22"/>
      <c r="F30" s="22">
        <v>0</v>
      </c>
      <c r="G30" s="22">
        <v>1</v>
      </c>
      <c r="H30" s="22" t="s">
        <v>1</v>
      </c>
      <c r="I30" s="22"/>
      <c r="J30" s="23">
        <f t="shared" si="0"/>
        <v>1</v>
      </c>
    </row>
    <row r="31" spans="1:10">
      <c r="A31" s="17" t="s">
        <v>65</v>
      </c>
      <c r="B31" s="22" t="s">
        <v>63</v>
      </c>
      <c r="C31" s="12" t="s">
        <v>66</v>
      </c>
      <c r="D31" s="13">
        <v>4060000</v>
      </c>
      <c r="E31" s="22"/>
      <c r="F31" s="22">
        <v>0</v>
      </c>
      <c r="G31" s="22">
        <v>1</v>
      </c>
      <c r="H31" s="22" t="s">
        <v>1</v>
      </c>
      <c r="I31" s="22"/>
      <c r="J31" s="23">
        <f t="shared" si="0"/>
        <v>1</v>
      </c>
    </row>
    <row r="32" spans="1:10">
      <c r="A32" s="17" t="s">
        <v>67</v>
      </c>
      <c r="B32" s="22" t="s">
        <v>68</v>
      </c>
      <c r="C32" s="12" t="s">
        <v>69</v>
      </c>
      <c r="D32" s="13">
        <v>3450000</v>
      </c>
      <c r="E32" s="22"/>
      <c r="F32" s="22">
        <v>0</v>
      </c>
      <c r="G32" s="22">
        <v>0</v>
      </c>
      <c r="H32" s="22" t="s">
        <v>1</v>
      </c>
      <c r="I32" s="22"/>
      <c r="J32" s="23">
        <f t="shared" si="0"/>
        <v>0</v>
      </c>
    </row>
    <row r="33" spans="1:10">
      <c r="A33" s="17" t="s">
        <v>70</v>
      </c>
      <c r="B33" s="22" t="s">
        <v>68</v>
      </c>
      <c r="C33" s="12" t="s">
        <v>71</v>
      </c>
      <c r="D33" s="13">
        <v>3450000</v>
      </c>
      <c r="E33" s="22"/>
      <c r="F33" s="22">
        <v>0</v>
      </c>
      <c r="G33" s="22">
        <v>1</v>
      </c>
      <c r="H33" s="22" t="s">
        <v>1</v>
      </c>
      <c r="I33" s="22"/>
      <c r="J33" s="23">
        <f t="shared" si="0"/>
        <v>1</v>
      </c>
    </row>
    <row r="34" spans="1:10">
      <c r="A34" s="17" t="s">
        <v>72</v>
      </c>
      <c r="B34" s="22" t="s">
        <v>73</v>
      </c>
      <c r="C34" s="12" t="s">
        <v>74</v>
      </c>
      <c r="D34" s="13">
        <v>3420000</v>
      </c>
      <c r="E34" s="22"/>
      <c r="F34" s="22">
        <v>0</v>
      </c>
      <c r="G34" s="22">
        <v>0</v>
      </c>
      <c r="H34" s="22" t="s">
        <v>1</v>
      </c>
      <c r="I34" s="22"/>
      <c r="J34" s="23">
        <f t="shared" si="0"/>
        <v>0</v>
      </c>
    </row>
    <row r="35" spans="1:10">
      <c r="A35" s="17" t="s">
        <v>75</v>
      </c>
      <c r="B35" s="22" t="s">
        <v>73</v>
      </c>
      <c r="C35" s="12" t="s">
        <v>69</v>
      </c>
      <c r="D35" s="13">
        <v>3450000</v>
      </c>
      <c r="E35" s="22"/>
      <c r="F35" s="22">
        <v>0</v>
      </c>
      <c r="G35" s="22">
        <v>0</v>
      </c>
      <c r="H35" s="22" t="s">
        <v>1</v>
      </c>
      <c r="I35" s="22"/>
      <c r="J35" s="23">
        <f t="shared" si="0"/>
        <v>0</v>
      </c>
    </row>
    <row r="36" spans="1:10">
      <c r="A36" s="17" t="s">
        <v>76</v>
      </c>
      <c r="B36" s="22" t="s">
        <v>73</v>
      </c>
      <c r="C36" s="12" t="s">
        <v>77</v>
      </c>
      <c r="D36" s="13">
        <v>3450000</v>
      </c>
      <c r="E36" s="22"/>
      <c r="F36" s="22">
        <v>0</v>
      </c>
      <c r="G36" s="22">
        <v>0</v>
      </c>
      <c r="H36" s="22" t="s">
        <v>1</v>
      </c>
      <c r="I36" s="22"/>
      <c r="J36" s="23">
        <f t="shared" si="0"/>
        <v>0</v>
      </c>
    </row>
    <row r="37" spans="1:10">
      <c r="A37" s="17" t="s">
        <v>78</v>
      </c>
      <c r="B37" s="22" t="s">
        <v>79</v>
      </c>
      <c r="C37" s="12" t="s">
        <v>80</v>
      </c>
      <c r="D37" s="13">
        <v>4920000</v>
      </c>
      <c r="E37" s="22"/>
      <c r="F37" s="22">
        <v>0</v>
      </c>
      <c r="G37" s="22">
        <v>1</v>
      </c>
      <c r="H37" s="22" t="s">
        <v>1</v>
      </c>
      <c r="I37" s="22"/>
      <c r="J37" s="23">
        <f t="shared" si="0"/>
        <v>1</v>
      </c>
    </row>
    <row r="38" spans="1:10">
      <c r="A38" s="17" t="s">
        <v>81</v>
      </c>
      <c r="B38" s="22" t="s">
        <v>79</v>
      </c>
      <c r="C38" s="12" t="s">
        <v>82</v>
      </c>
      <c r="D38" s="13">
        <v>4920000</v>
      </c>
      <c r="E38" s="22"/>
      <c r="F38" s="22">
        <v>0</v>
      </c>
      <c r="G38" s="22">
        <v>1</v>
      </c>
      <c r="H38" s="22" t="s">
        <v>1</v>
      </c>
      <c r="I38" s="22"/>
      <c r="J38" s="23">
        <f t="shared" si="0"/>
        <v>1</v>
      </c>
    </row>
    <row r="39" spans="1:10">
      <c r="A39" s="17" t="s">
        <v>83</v>
      </c>
      <c r="B39" s="22" t="s">
        <v>79</v>
      </c>
      <c r="C39" s="12" t="s">
        <v>84</v>
      </c>
      <c r="D39" s="13">
        <v>4920000</v>
      </c>
      <c r="E39" s="22"/>
      <c r="F39" s="22">
        <v>0</v>
      </c>
      <c r="G39" s="22">
        <v>0</v>
      </c>
      <c r="H39" s="22" t="s">
        <v>1</v>
      </c>
      <c r="I39" s="22"/>
      <c r="J39" s="23">
        <f t="shared" si="0"/>
        <v>0</v>
      </c>
    </row>
    <row r="40" spans="1:10">
      <c r="A40" s="17" t="s">
        <v>85</v>
      </c>
      <c r="B40" s="22" t="s">
        <v>86</v>
      </c>
      <c r="C40" s="12" t="s">
        <v>87</v>
      </c>
      <c r="D40" s="13">
        <v>4060000</v>
      </c>
      <c r="E40" s="22"/>
      <c r="F40" s="22">
        <v>0</v>
      </c>
      <c r="G40" s="22">
        <v>0</v>
      </c>
      <c r="H40" s="22">
        <v>1</v>
      </c>
      <c r="I40" s="22"/>
      <c r="J40" s="23">
        <f t="shared" si="0"/>
        <v>1</v>
      </c>
    </row>
    <row r="41" spans="1:10">
      <c r="A41" s="17" t="s">
        <v>88</v>
      </c>
      <c r="B41" s="22" t="s">
        <v>86</v>
      </c>
      <c r="C41" s="12" t="s">
        <v>89</v>
      </c>
      <c r="D41" s="13">
        <v>4060000</v>
      </c>
      <c r="E41" s="22"/>
      <c r="F41" s="22">
        <v>0</v>
      </c>
      <c r="G41" s="22">
        <v>0</v>
      </c>
      <c r="H41" s="22" t="s">
        <v>1</v>
      </c>
      <c r="I41" s="22"/>
      <c r="J41" s="23">
        <f t="shared" si="0"/>
        <v>0</v>
      </c>
    </row>
    <row r="42" spans="1:10">
      <c r="A42" s="17" t="s">
        <v>90</v>
      </c>
      <c r="B42" s="22" t="s">
        <v>91</v>
      </c>
      <c r="C42" s="12" t="s">
        <v>92</v>
      </c>
      <c r="D42" s="13">
        <v>4060000</v>
      </c>
      <c r="E42" s="22"/>
      <c r="F42" s="22">
        <v>0</v>
      </c>
      <c r="G42" s="22">
        <v>0</v>
      </c>
      <c r="H42" s="22">
        <v>1</v>
      </c>
      <c r="I42" s="22"/>
      <c r="J42" s="23">
        <f t="shared" si="0"/>
        <v>1</v>
      </c>
    </row>
    <row r="43" spans="1:10">
      <c r="A43" s="17" t="s">
        <v>93</v>
      </c>
      <c r="B43" s="22" t="s">
        <v>91</v>
      </c>
      <c r="C43" s="12" t="s">
        <v>94</v>
      </c>
      <c r="D43" s="13">
        <v>4060000</v>
      </c>
      <c r="E43" s="22"/>
      <c r="F43" s="22">
        <v>0</v>
      </c>
      <c r="G43" s="22">
        <v>0</v>
      </c>
      <c r="H43" s="22" t="s">
        <v>1</v>
      </c>
      <c r="I43" s="22"/>
      <c r="J43" s="23">
        <f t="shared" si="0"/>
        <v>0</v>
      </c>
    </row>
    <row r="44" spans="1:10">
      <c r="A44" s="17" t="s">
        <v>95</v>
      </c>
      <c r="B44" s="22" t="s">
        <v>96</v>
      </c>
      <c r="C44" s="12" t="s">
        <v>97</v>
      </c>
      <c r="D44" s="13">
        <v>4490000</v>
      </c>
      <c r="E44" s="22"/>
      <c r="F44" s="22">
        <v>0</v>
      </c>
      <c r="G44" s="22">
        <v>1</v>
      </c>
      <c r="H44" s="22" t="s">
        <v>1</v>
      </c>
      <c r="I44" s="22"/>
      <c r="J44" s="23">
        <f t="shared" si="0"/>
        <v>1</v>
      </c>
    </row>
    <row r="45" spans="1:10">
      <c r="A45" s="17" t="s">
        <v>98</v>
      </c>
      <c r="B45" s="22" t="s">
        <v>96</v>
      </c>
      <c r="C45" s="12" t="s">
        <v>99</v>
      </c>
      <c r="D45" s="13">
        <v>5120000</v>
      </c>
      <c r="E45" s="22"/>
      <c r="F45" s="22">
        <v>0</v>
      </c>
      <c r="G45" s="22">
        <v>0</v>
      </c>
      <c r="H45" s="22" t="s">
        <v>1</v>
      </c>
      <c r="I45" s="22"/>
      <c r="J45" s="23">
        <f t="shared" si="0"/>
        <v>0</v>
      </c>
    </row>
    <row r="46" spans="1:10">
      <c r="A46" s="17" t="s">
        <v>100</v>
      </c>
      <c r="B46" s="22" t="s">
        <v>101</v>
      </c>
      <c r="C46" s="12" t="s">
        <v>102</v>
      </c>
      <c r="D46" s="13">
        <v>4490000</v>
      </c>
      <c r="E46" s="22"/>
      <c r="F46" s="22">
        <v>0</v>
      </c>
      <c r="G46" s="22">
        <v>1</v>
      </c>
      <c r="H46" s="22" t="s">
        <v>1</v>
      </c>
      <c r="I46" s="22"/>
      <c r="J46" s="23">
        <f t="shared" si="0"/>
        <v>1</v>
      </c>
    </row>
    <row r="47" spans="1:10">
      <c r="A47" s="17" t="s">
        <v>103</v>
      </c>
      <c r="B47" s="22" t="s">
        <v>104</v>
      </c>
      <c r="C47" s="12" t="s">
        <v>105</v>
      </c>
      <c r="D47" s="13">
        <v>3450000</v>
      </c>
      <c r="E47" s="22"/>
      <c r="F47" s="22">
        <v>0</v>
      </c>
      <c r="G47" s="22">
        <v>0</v>
      </c>
      <c r="H47" s="22" t="s">
        <v>1</v>
      </c>
      <c r="I47" s="22"/>
      <c r="J47" s="23">
        <f t="shared" si="0"/>
        <v>0</v>
      </c>
    </row>
    <row r="48" spans="1:10">
      <c r="A48" s="17" t="s">
        <v>106</v>
      </c>
      <c r="B48" s="22" t="s">
        <v>104</v>
      </c>
      <c r="C48" s="12" t="s">
        <v>107</v>
      </c>
      <c r="D48" s="13">
        <v>3450000</v>
      </c>
      <c r="E48" s="22"/>
      <c r="F48" s="22">
        <v>0</v>
      </c>
      <c r="G48" s="22">
        <v>1</v>
      </c>
      <c r="H48" s="22" t="s">
        <v>1</v>
      </c>
      <c r="I48" s="22"/>
      <c r="J48" s="23">
        <f t="shared" si="0"/>
        <v>1</v>
      </c>
    </row>
    <row r="49" spans="1:10">
      <c r="A49" s="17" t="s">
        <v>108</v>
      </c>
      <c r="B49" s="22" t="s">
        <v>104</v>
      </c>
      <c r="C49" s="12" t="s">
        <v>109</v>
      </c>
      <c r="D49" s="13">
        <v>3450000</v>
      </c>
      <c r="E49" s="22"/>
      <c r="F49" s="22">
        <v>0</v>
      </c>
      <c r="G49" s="22">
        <v>0</v>
      </c>
      <c r="H49" s="22" t="s">
        <v>1</v>
      </c>
      <c r="I49" s="22"/>
      <c r="J49" s="23">
        <f t="shared" si="0"/>
        <v>0</v>
      </c>
    </row>
    <row r="50" spans="1:10">
      <c r="A50" s="17" t="s">
        <v>110</v>
      </c>
      <c r="B50" s="22" t="s">
        <v>111</v>
      </c>
      <c r="C50" s="12" t="s">
        <v>112</v>
      </c>
      <c r="D50" s="13">
        <v>4070000</v>
      </c>
      <c r="E50" s="22"/>
      <c r="F50" s="22">
        <v>0</v>
      </c>
      <c r="G50" s="22">
        <v>0</v>
      </c>
      <c r="H50" s="22" t="s">
        <v>1</v>
      </c>
      <c r="I50" s="22"/>
      <c r="J50" s="23">
        <f t="shared" si="0"/>
        <v>0</v>
      </c>
    </row>
    <row r="51" spans="1:10">
      <c r="A51" s="17" t="s">
        <v>113</v>
      </c>
      <c r="B51" s="22" t="s">
        <v>111</v>
      </c>
      <c r="C51" s="12" t="s">
        <v>114</v>
      </c>
      <c r="D51" s="13">
        <v>4070000</v>
      </c>
      <c r="E51" s="22"/>
      <c r="F51" s="22">
        <v>0</v>
      </c>
      <c r="G51" s="22">
        <v>0</v>
      </c>
      <c r="H51" s="22" t="s">
        <v>1</v>
      </c>
      <c r="I51" s="22"/>
      <c r="J51" s="23">
        <f t="shared" si="0"/>
        <v>0</v>
      </c>
    </row>
    <row r="52" spans="1:10">
      <c r="A52" s="17" t="s">
        <v>115</v>
      </c>
      <c r="B52" s="22" t="s">
        <v>111</v>
      </c>
      <c r="C52" s="12" t="s">
        <v>116</v>
      </c>
      <c r="D52" s="13">
        <v>4070000</v>
      </c>
      <c r="E52" s="22"/>
      <c r="F52" s="22">
        <v>0</v>
      </c>
      <c r="G52" s="22">
        <v>1</v>
      </c>
      <c r="H52" s="22" t="s">
        <v>1</v>
      </c>
      <c r="I52" s="22"/>
      <c r="J52" s="23">
        <f t="shared" si="0"/>
        <v>1</v>
      </c>
    </row>
    <row r="53" spans="1:10">
      <c r="A53" s="17" t="s">
        <v>117</v>
      </c>
      <c r="B53" s="22" t="s">
        <v>111</v>
      </c>
      <c r="C53" s="12" t="s">
        <v>118</v>
      </c>
      <c r="D53" s="13">
        <v>4070000</v>
      </c>
      <c r="E53" s="22"/>
      <c r="F53" s="22">
        <v>0</v>
      </c>
      <c r="G53" s="22">
        <v>0</v>
      </c>
      <c r="H53" s="22">
        <v>1</v>
      </c>
      <c r="I53" s="22"/>
      <c r="J53" s="23">
        <f t="shared" si="0"/>
        <v>1</v>
      </c>
    </row>
    <row r="54" spans="1:10">
      <c r="A54" s="17" t="s">
        <v>119</v>
      </c>
      <c r="B54" s="22" t="s">
        <v>120</v>
      </c>
      <c r="C54" s="12" t="s">
        <v>121</v>
      </c>
      <c r="D54" s="13">
        <v>4920000</v>
      </c>
      <c r="E54" s="22"/>
      <c r="F54" s="22">
        <v>0</v>
      </c>
      <c r="G54" s="22">
        <v>1</v>
      </c>
      <c r="H54" s="22" t="s">
        <v>1</v>
      </c>
      <c r="I54" s="22"/>
      <c r="J54" s="23">
        <f t="shared" si="0"/>
        <v>1</v>
      </c>
    </row>
    <row r="55" spans="1:10">
      <c r="A55" s="17" t="s">
        <v>122</v>
      </c>
      <c r="B55" s="22" t="s">
        <v>120</v>
      </c>
      <c r="C55" s="12" t="s">
        <v>123</v>
      </c>
      <c r="D55" s="13">
        <v>4920000</v>
      </c>
      <c r="E55" s="22"/>
      <c r="F55" s="22">
        <v>0</v>
      </c>
      <c r="G55" s="22">
        <v>1</v>
      </c>
      <c r="H55" s="22" t="s">
        <v>1</v>
      </c>
      <c r="I55" s="22"/>
      <c r="J55" s="23">
        <f t="shared" si="0"/>
        <v>1</v>
      </c>
    </row>
    <row r="56" spans="1:10">
      <c r="A56" s="17" t="s">
        <v>124</v>
      </c>
      <c r="B56" s="22" t="s">
        <v>125</v>
      </c>
      <c r="C56" s="12" t="s">
        <v>126</v>
      </c>
      <c r="D56" s="13">
        <v>3420000</v>
      </c>
      <c r="E56" s="22"/>
      <c r="F56" s="22">
        <v>0</v>
      </c>
      <c r="G56" s="22">
        <v>1</v>
      </c>
      <c r="H56" s="22" t="s">
        <v>1</v>
      </c>
      <c r="I56" s="22"/>
      <c r="J56" s="23">
        <f t="shared" si="0"/>
        <v>1</v>
      </c>
    </row>
    <row r="57" spans="1:10">
      <c r="A57" s="17" t="s">
        <v>127</v>
      </c>
      <c r="B57" s="22" t="s">
        <v>125</v>
      </c>
      <c r="C57" s="12" t="s">
        <v>128</v>
      </c>
      <c r="D57" s="13">
        <v>3420000</v>
      </c>
      <c r="E57" s="22"/>
      <c r="F57" s="22">
        <v>0</v>
      </c>
      <c r="G57" s="22">
        <v>0</v>
      </c>
      <c r="H57" s="22" t="s">
        <v>1</v>
      </c>
      <c r="I57" s="22"/>
      <c r="J57" s="23">
        <f t="shared" si="0"/>
        <v>0</v>
      </c>
    </row>
    <row r="58" spans="1:10">
      <c r="A58" s="17" t="s">
        <v>129</v>
      </c>
      <c r="B58" s="22" t="s">
        <v>125</v>
      </c>
      <c r="C58" s="12" t="s">
        <v>130</v>
      </c>
      <c r="D58" s="13">
        <v>3420000</v>
      </c>
      <c r="E58" s="22"/>
      <c r="F58" s="22">
        <v>0</v>
      </c>
      <c r="G58" s="22">
        <v>1</v>
      </c>
      <c r="H58" s="22" t="s">
        <v>1</v>
      </c>
      <c r="I58" s="22"/>
      <c r="J58" s="23">
        <f t="shared" si="0"/>
        <v>1</v>
      </c>
    </row>
    <row r="59" spans="1:10">
      <c r="A59" s="17" t="s">
        <v>131</v>
      </c>
      <c r="B59" s="22" t="s">
        <v>125</v>
      </c>
      <c r="C59" s="12" t="s">
        <v>132</v>
      </c>
      <c r="D59" s="13">
        <v>3420000</v>
      </c>
      <c r="E59" s="22"/>
      <c r="F59" s="22">
        <v>0</v>
      </c>
      <c r="G59" s="22">
        <v>0</v>
      </c>
      <c r="H59" s="22" t="s">
        <v>1</v>
      </c>
      <c r="I59" s="22"/>
      <c r="J59" s="23">
        <f t="shared" si="0"/>
        <v>0</v>
      </c>
    </row>
    <row r="60" spans="1:10">
      <c r="A60" s="17" t="s">
        <v>133</v>
      </c>
      <c r="B60" s="22" t="s">
        <v>134</v>
      </c>
      <c r="C60" s="12" t="s">
        <v>135</v>
      </c>
      <c r="D60" s="13">
        <v>3420000</v>
      </c>
      <c r="E60" s="22"/>
      <c r="F60" s="22">
        <v>0</v>
      </c>
      <c r="G60" s="22">
        <v>1</v>
      </c>
      <c r="H60" s="22" t="s">
        <v>1</v>
      </c>
      <c r="I60" s="22"/>
      <c r="J60" s="23">
        <f t="shared" si="0"/>
        <v>1</v>
      </c>
    </row>
    <row r="61" spans="1:10">
      <c r="A61" s="17" t="s">
        <v>136</v>
      </c>
      <c r="B61" s="22" t="s">
        <v>134</v>
      </c>
      <c r="C61" s="12" t="s">
        <v>137</v>
      </c>
      <c r="D61" s="13">
        <v>3420000</v>
      </c>
      <c r="E61" s="22"/>
      <c r="F61" s="22">
        <v>0</v>
      </c>
      <c r="G61" s="22">
        <v>1</v>
      </c>
      <c r="H61" s="22" t="s">
        <v>1</v>
      </c>
      <c r="I61" s="22"/>
      <c r="J61" s="23">
        <f t="shared" si="0"/>
        <v>1</v>
      </c>
    </row>
    <row r="62" spans="1:10">
      <c r="A62" s="17" t="s">
        <v>138</v>
      </c>
      <c r="B62" s="22" t="s">
        <v>134</v>
      </c>
      <c r="C62" s="12" t="s">
        <v>116</v>
      </c>
      <c r="D62" s="13">
        <v>3420000</v>
      </c>
      <c r="E62" s="22"/>
      <c r="F62" s="22">
        <v>0</v>
      </c>
      <c r="G62" s="22">
        <v>0</v>
      </c>
      <c r="H62" s="22" t="s">
        <v>1</v>
      </c>
      <c r="I62" s="22"/>
      <c r="J62" s="23">
        <f t="shared" si="0"/>
        <v>0</v>
      </c>
    </row>
    <row r="63" spans="1:10">
      <c r="A63" s="17" t="s">
        <v>139</v>
      </c>
      <c r="B63" s="22" t="s">
        <v>140</v>
      </c>
      <c r="C63" s="12" t="s">
        <v>141</v>
      </c>
      <c r="D63" s="13">
        <v>4070000</v>
      </c>
      <c r="E63" s="22"/>
      <c r="F63" s="22">
        <v>0</v>
      </c>
      <c r="G63" s="22">
        <v>1</v>
      </c>
      <c r="H63" s="22" t="s">
        <v>1</v>
      </c>
      <c r="I63" s="22"/>
      <c r="J63" s="23">
        <f t="shared" si="0"/>
        <v>1</v>
      </c>
    </row>
    <row r="64" spans="1:10">
      <c r="A64" s="17" t="s">
        <v>142</v>
      </c>
      <c r="B64" s="22" t="s">
        <v>140</v>
      </c>
      <c r="C64" s="12" t="s">
        <v>143</v>
      </c>
      <c r="D64" s="13">
        <v>4070000</v>
      </c>
      <c r="E64" s="22"/>
      <c r="F64" s="22">
        <v>0</v>
      </c>
      <c r="G64" s="22">
        <v>1</v>
      </c>
      <c r="H64" s="22" t="s">
        <v>1</v>
      </c>
      <c r="I64" s="22"/>
      <c r="J64" s="23">
        <f t="shared" si="0"/>
        <v>1</v>
      </c>
    </row>
    <row r="65" spans="1:10">
      <c r="A65" s="17" t="s">
        <v>144</v>
      </c>
      <c r="B65" s="22" t="s">
        <v>145</v>
      </c>
      <c r="C65" s="12" t="s">
        <v>146</v>
      </c>
      <c r="D65" s="13">
        <v>5340000</v>
      </c>
      <c r="E65" s="22"/>
      <c r="F65" s="22">
        <v>0</v>
      </c>
      <c r="G65" s="22">
        <v>1</v>
      </c>
      <c r="H65" s="22" t="s">
        <v>1</v>
      </c>
      <c r="I65" s="22"/>
      <c r="J65" s="23">
        <f t="shared" si="0"/>
        <v>1</v>
      </c>
    </row>
    <row r="66" spans="1:10">
      <c r="A66" s="17" t="s">
        <v>147</v>
      </c>
      <c r="B66" s="22" t="s">
        <v>148</v>
      </c>
      <c r="C66" s="12" t="s">
        <v>149</v>
      </c>
      <c r="D66" s="13">
        <v>4070000</v>
      </c>
      <c r="E66" s="22"/>
      <c r="F66" s="22">
        <v>0</v>
      </c>
      <c r="G66" s="22">
        <v>0</v>
      </c>
      <c r="H66" s="22" t="s">
        <v>1</v>
      </c>
      <c r="I66" s="22"/>
      <c r="J66" s="23">
        <f t="shared" si="0"/>
        <v>0</v>
      </c>
    </row>
    <row r="67" spans="1:10">
      <c r="A67" s="17" t="s">
        <v>150</v>
      </c>
      <c r="B67" s="22" t="s">
        <v>151</v>
      </c>
      <c r="C67" s="12" t="s">
        <v>126</v>
      </c>
      <c r="D67" s="13">
        <v>3420000</v>
      </c>
      <c r="E67" s="22"/>
      <c r="F67" s="22">
        <v>0</v>
      </c>
      <c r="G67" s="22">
        <v>0</v>
      </c>
      <c r="H67" s="22" t="s">
        <v>1</v>
      </c>
      <c r="I67" s="22"/>
      <c r="J67" s="23">
        <f t="shared" ref="J67:J121" si="1">SUM(E67:I67)</f>
        <v>0</v>
      </c>
    </row>
    <row r="68" spans="1:10">
      <c r="A68" s="17" t="s">
        <v>152</v>
      </c>
      <c r="B68" s="22" t="s">
        <v>151</v>
      </c>
      <c r="C68" s="12" t="s">
        <v>153</v>
      </c>
      <c r="D68" s="13">
        <v>3420000</v>
      </c>
      <c r="E68" s="22"/>
      <c r="F68" s="22">
        <v>0</v>
      </c>
      <c r="G68" s="22">
        <v>1</v>
      </c>
      <c r="H68" s="22" t="s">
        <v>1</v>
      </c>
      <c r="I68" s="22"/>
      <c r="J68" s="23">
        <f t="shared" si="1"/>
        <v>1</v>
      </c>
    </row>
    <row r="69" spans="1:10">
      <c r="A69" s="17" t="s">
        <v>154</v>
      </c>
      <c r="B69" s="22" t="s">
        <v>151</v>
      </c>
      <c r="C69" s="12" t="s">
        <v>155</v>
      </c>
      <c r="D69" s="13">
        <v>3420000</v>
      </c>
      <c r="E69" s="22"/>
      <c r="F69" s="22">
        <v>0</v>
      </c>
      <c r="G69" s="22">
        <v>0</v>
      </c>
      <c r="H69" s="22" t="s">
        <v>1</v>
      </c>
      <c r="I69" s="22"/>
      <c r="J69" s="23">
        <f t="shared" si="1"/>
        <v>0</v>
      </c>
    </row>
    <row r="70" spans="1:10">
      <c r="A70" s="17" t="s">
        <v>156</v>
      </c>
      <c r="B70" s="22" t="s">
        <v>157</v>
      </c>
      <c r="C70" s="12" t="s">
        <v>158</v>
      </c>
      <c r="D70" s="13">
        <v>3420000</v>
      </c>
      <c r="E70" s="22"/>
      <c r="F70" s="22">
        <v>0</v>
      </c>
      <c r="G70" s="22">
        <v>0</v>
      </c>
      <c r="H70" s="22">
        <v>1</v>
      </c>
      <c r="I70" s="22"/>
      <c r="J70" s="23">
        <f t="shared" si="1"/>
        <v>1</v>
      </c>
    </row>
    <row r="71" spans="1:10">
      <c r="A71" s="17" t="s">
        <v>159</v>
      </c>
      <c r="B71" s="22" t="s">
        <v>157</v>
      </c>
      <c r="C71" s="12" t="s">
        <v>160</v>
      </c>
      <c r="D71" s="13">
        <v>3420000</v>
      </c>
      <c r="E71" s="22"/>
      <c r="F71" s="22">
        <v>0</v>
      </c>
      <c r="G71" s="22" t="s">
        <v>1</v>
      </c>
      <c r="H71" s="22" t="s">
        <v>1</v>
      </c>
      <c r="I71" s="22"/>
      <c r="J71" s="23">
        <f t="shared" si="1"/>
        <v>0</v>
      </c>
    </row>
    <row r="72" spans="1:10">
      <c r="A72" s="17" t="s">
        <v>161</v>
      </c>
      <c r="B72" s="22" t="s">
        <v>157</v>
      </c>
      <c r="C72" s="12" t="s">
        <v>162</v>
      </c>
      <c r="D72" s="13">
        <v>3420000</v>
      </c>
      <c r="E72" s="22"/>
      <c r="F72" s="22">
        <v>0</v>
      </c>
      <c r="G72" s="22" t="s">
        <v>1</v>
      </c>
      <c r="H72" s="22" t="s">
        <v>1</v>
      </c>
      <c r="I72" s="22"/>
      <c r="J72" s="23">
        <f t="shared" si="1"/>
        <v>0</v>
      </c>
    </row>
    <row r="73" spans="1:10">
      <c r="A73" s="17" t="s">
        <v>163</v>
      </c>
      <c r="B73" s="22" t="s">
        <v>157</v>
      </c>
      <c r="C73" s="12" t="s">
        <v>164</v>
      </c>
      <c r="D73" s="13">
        <v>3420000</v>
      </c>
      <c r="E73" s="22"/>
      <c r="F73" s="22">
        <v>0</v>
      </c>
      <c r="G73" s="22">
        <v>1</v>
      </c>
      <c r="H73" s="22" t="s">
        <v>1</v>
      </c>
      <c r="I73" s="22"/>
      <c r="J73" s="23">
        <f t="shared" si="1"/>
        <v>1</v>
      </c>
    </row>
    <row r="74" spans="1:10">
      <c r="A74" s="17" t="s">
        <v>165</v>
      </c>
      <c r="B74" s="22" t="s">
        <v>157</v>
      </c>
      <c r="C74" s="12" t="s">
        <v>166</v>
      </c>
      <c r="D74" s="13">
        <v>3420000</v>
      </c>
      <c r="E74" s="22"/>
      <c r="F74" s="22">
        <v>0</v>
      </c>
      <c r="G74" s="22">
        <v>0</v>
      </c>
      <c r="H74" s="22" t="s">
        <v>1</v>
      </c>
      <c r="I74" s="22"/>
      <c r="J74" s="23">
        <f t="shared" si="1"/>
        <v>0</v>
      </c>
    </row>
    <row r="75" spans="1:10">
      <c r="A75" s="17" t="s">
        <v>167</v>
      </c>
      <c r="B75" s="22" t="s">
        <v>168</v>
      </c>
      <c r="C75" s="12" t="s">
        <v>169</v>
      </c>
      <c r="D75" s="13">
        <v>4920000</v>
      </c>
      <c r="E75" s="22"/>
      <c r="F75" s="22">
        <v>0</v>
      </c>
      <c r="G75" s="22">
        <v>1</v>
      </c>
      <c r="H75" s="22" t="s">
        <v>1</v>
      </c>
      <c r="I75" s="22"/>
      <c r="J75" s="23">
        <f t="shared" si="1"/>
        <v>1</v>
      </c>
    </row>
    <row r="76" spans="1:10">
      <c r="A76" s="17" t="s">
        <v>170</v>
      </c>
      <c r="B76" s="22" t="s">
        <v>168</v>
      </c>
      <c r="C76" s="12" t="s">
        <v>171</v>
      </c>
      <c r="D76" s="13">
        <v>4920000</v>
      </c>
      <c r="E76" s="22"/>
      <c r="F76" s="22">
        <v>0</v>
      </c>
      <c r="G76" s="22">
        <v>0</v>
      </c>
      <c r="H76" s="22" t="s">
        <v>1</v>
      </c>
      <c r="I76" s="22"/>
      <c r="J76" s="23">
        <f t="shared" si="1"/>
        <v>0</v>
      </c>
    </row>
    <row r="77" spans="1:10">
      <c r="A77" s="17" t="s">
        <v>172</v>
      </c>
      <c r="B77" s="22" t="s">
        <v>173</v>
      </c>
      <c r="C77" s="12" t="s">
        <v>174</v>
      </c>
      <c r="D77" s="13">
        <v>3420000</v>
      </c>
      <c r="E77" s="22"/>
      <c r="F77" s="22">
        <v>0</v>
      </c>
      <c r="G77" s="22">
        <v>0</v>
      </c>
      <c r="H77" s="22" t="s">
        <v>1</v>
      </c>
      <c r="I77" s="22"/>
      <c r="J77" s="23">
        <f t="shared" si="1"/>
        <v>0</v>
      </c>
    </row>
    <row r="78" spans="1:10">
      <c r="A78" s="17" t="s">
        <v>175</v>
      </c>
      <c r="B78" s="22" t="s">
        <v>173</v>
      </c>
      <c r="C78" s="12" t="s">
        <v>176</v>
      </c>
      <c r="D78" s="13">
        <v>3420000</v>
      </c>
      <c r="E78" s="22"/>
      <c r="F78" s="22">
        <v>0</v>
      </c>
      <c r="G78" s="22">
        <v>0</v>
      </c>
      <c r="H78" s="22" t="s">
        <v>1</v>
      </c>
      <c r="I78" s="22"/>
      <c r="J78" s="23">
        <f t="shared" si="1"/>
        <v>0</v>
      </c>
    </row>
    <row r="79" spans="1:10">
      <c r="A79" s="17" t="s">
        <v>177</v>
      </c>
      <c r="B79" s="22" t="s">
        <v>173</v>
      </c>
      <c r="C79" s="12" t="s">
        <v>178</v>
      </c>
      <c r="D79" s="13">
        <v>3420000</v>
      </c>
      <c r="E79" s="22"/>
      <c r="F79" s="22">
        <v>0</v>
      </c>
      <c r="G79" s="22">
        <v>0</v>
      </c>
      <c r="H79" s="22" t="s">
        <v>1</v>
      </c>
      <c r="I79" s="22"/>
      <c r="J79" s="23">
        <f t="shared" si="1"/>
        <v>0</v>
      </c>
    </row>
    <row r="80" spans="1:10">
      <c r="A80" s="17" t="s">
        <v>179</v>
      </c>
      <c r="B80" s="22" t="s">
        <v>180</v>
      </c>
      <c r="C80" s="12" t="s">
        <v>181</v>
      </c>
      <c r="D80" s="13">
        <v>3470000</v>
      </c>
      <c r="E80" s="22"/>
      <c r="F80" s="22">
        <v>1</v>
      </c>
      <c r="G80" s="22">
        <v>0</v>
      </c>
      <c r="H80" s="22" t="s">
        <v>1</v>
      </c>
      <c r="I80" s="22"/>
      <c r="J80" s="23">
        <f t="shared" si="1"/>
        <v>1</v>
      </c>
    </row>
    <row r="81" spans="1:10">
      <c r="A81" s="17" t="s">
        <v>182</v>
      </c>
      <c r="B81" s="22" t="s">
        <v>180</v>
      </c>
      <c r="C81" s="12" t="s">
        <v>183</v>
      </c>
      <c r="D81" s="13">
        <v>3420000</v>
      </c>
      <c r="E81" s="22"/>
      <c r="F81" s="22">
        <v>0</v>
      </c>
      <c r="G81" s="22">
        <v>1</v>
      </c>
      <c r="H81" s="22" t="s">
        <v>1</v>
      </c>
      <c r="I81" s="22"/>
      <c r="J81" s="23">
        <f t="shared" si="1"/>
        <v>1</v>
      </c>
    </row>
    <row r="82" spans="1:10">
      <c r="A82" s="17" t="s">
        <v>184</v>
      </c>
      <c r="B82" s="22" t="s">
        <v>180</v>
      </c>
      <c r="C82" s="12" t="s">
        <v>185</v>
      </c>
      <c r="D82" s="13">
        <v>3420000</v>
      </c>
      <c r="E82" s="22"/>
      <c r="F82" s="22">
        <v>0</v>
      </c>
      <c r="G82" s="22">
        <v>0</v>
      </c>
      <c r="H82" s="22" t="s">
        <v>1</v>
      </c>
      <c r="I82" s="22"/>
      <c r="J82" s="23">
        <f t="shared" si="1"/>
        <v>0</v>
      </c>
    </row>
    <row r="83" spans="1:10">
      <c r="A83" s="17" t="s">
        <v>186</v>
      </c>
      <c r="B83" s="22" t="s">
        <v>187</v>
      </c>
      <c r="C83" s="12" t="s">
        <v>188</v>
      </c>
      <c r="D83" s="13">
        <v>3420000</v>
      </c>
      <c r="E83" s="22"/>
      <c r="F83" s="22">
        <v>0</v>
      </c>
      <c r="G83" s="22">
        <v>1</v>
      </c>
      <c r="H83" s="22">
        <v>1</v>
      </c>
      <c r="I83" s="22"/>
      <c r="J83" s="23">
        <f t="shared" si="1"/>
        <v>2</v>
      </c>
    </row>
    <row r="84" spans="1:10">
      <c r="A84" s="17" t="s">
        <v>189</v>
      </c>
      <c r="B84" s="22" t="s">
        <v>190</v>
      </c>
      <c r="C84" s="12" t="s">
        <v>191</v>
      </c>
      <c r="D84" s="13">
        <v>3420000</v>
      </c>
      <c r="E84" s="22"/>
      <c r="F84" s="22">
        <v>0</v>
      </c>
      <c r="G84" s="22">
        <v>1</v>
      </c>
      <c r="H84" s="22" t="s">
        <v>1</v>
      </c>
      <c r="I84" s="22"/>
      <c r="J84" s="23">
        <f t="shared" si="1"/>
        <v>1</v>
      </c>
    </row>
    <row r="85" spans="1:10">
      <c r="A85" s="17" t="s">
        <v>192</v>
      </c>
      <c r="B85" s="22" t="s">
        <v>190</v>
      </c>
      <c r="C85" s="12" t="s">
        <v>193</v>
      </c>
      <c r="D85" s="13">
        <v>3420000</v>
      </c>
      <c r="E85" s="22"/>
      <c r="F85" s="22">
        <v>0</v>
      </c>
      <c r="G85" s="22">
        <v>0</v>
      </c>
      <c r="H85" s="22" t="s">
        <v>1</v>
      </c>
      <c r="I85" s="22"/>
      <c r="J85" s="23">
        <f t="shared" si="1"/>
        <v>0</v>
      </c>
    </row>
    <row r="86" spans="1:10">
      <c r="A86" s="17" t="s">
        <v>194</v>
      </c>
      <c r="B86" s="22" t="s">
        <v>190</v>
      </c>
      <c r="C86" s="12" t="s">
        <v>195</v>
      </c>
      <c r="D86" s="13">
        <v>3420000</v>
      </c>
      <c r="E86" s="22"/>
      <c r="F86" s="22">
        <v>0</v>
      </c>
      <c r="G86" s="22" t="s">
        <v>1</v>
      </c>
      <c r="H86" s="22" t="s">
        <v>1</v>
      </c>
      <c r="I86" s="22"/>
      <c r="J86" s="23">
        <f t="shared" si="1"/>
        <v>0</v>
      </c>
    </row>
    <row r="87" spans="1:10">
      <c r="A87" s="17" t="s">
        <v>196</v>
      </c>
      <c r="B87" s="22" t="s">
        <v>197</v>
      </c>
      <c r="C87" s="12" t="s">
        <v>198</v>
      </c>
      <c r="D87" s="13">
        <v>3420000</v>
      </c>
      <c r="E87" s="22"/>
      <c r="F87" s="22">
        <v>0</v>
      </c>
      <c r="G87" s="22">
        <v>1</v>
      </c>
      <c r="H87" s="22" t="s">
        <v>1</v>
      </c>
      <c r="I87" s="22"/>
      <c r="J87" s="23">
        <f t="shared" si="1"/>
        <v>1</v>
      </c>
    </row>
    <row r="88" spans="1:10">
      <c r="A88" s="17" t="s">
        <v>199</v>
      </c>
      <c r="B88" s="22" t="s">
        <v>197</v>
      </c>
      <c r="C88" s="12" t="s">
        <v>200</v>
      </c>
      <c r="D88" s="13">
        <v>3420000</v>
      </c>
      <c r="E88" s="22"/>
      <c r="F88" s="22">
        <v>0</v>
      </c>
      <c r="G88" s="22">
        <v>0</v>
      </c>
      <c r="H88" s="22" t="s">
        <v>1</v>
      </c>
      <c r="I88" s="22"/>
      <c r="J88" s="23">
        <f t="shared" si="1"/>
        <v>0</v>
      </c>
    </row>
    <row r="89" spans="1:10">
      <c r="A89" s="17" t="s">
        <v>201</v>
      </c>
      <c r="B89" s="22" t="s">
        <v>202</v>
      </c>
      <c r="C89" s="12" t="s">
        <v>203</v>
      </c>
      <c r="D89" s="13">
        <v>4070000</v>
      </c>
      <c r="E89" s="22"/>
      <c r="F89" s="22">
        <v>0</v>
      </c>
      <c r="G89" s="22" t="s">
        <v>1</v>
      </c>
      <c r="H89" s="22" t="s">
        <v>1</v>
      </c>
      <c r="I89" s="22"/>
      <c r="J89" s="23">
        <f t="shared" si="1"/>
        <v>0</v>
      </c>
    </row>
    <row r="90" spans="1:10">
      <c r="A90" s="17" t="s">
        <v>204</v>
      </c>
      <c r="B90" s="22" t="s">
        <v>202</v>
      </c>
      <c r="C90" s="12" t="s">
        <v>205</v>
      </c>
      <c r="D90" s="13">
        <v>4070000</v>
      </c>
      <c r="E90" s="22"/>
      <c r="F90" s="22">
        <v>0</v>
      </c>
      <c r="G90" s="22">
        <v>1</v>
      </c>
      <c r="H90" s="22">
        <v>1</v>
      </c>
      <c r="I90" s="22"/>
      <c r="J90" s="23">
        <f t="shared" si="1"/>
        <v>2</v>
      </c>
    </row>
    <row r="91" spans="1:10">
      <c r="A91" s="17" t="s">
        <v>206</v>
      </c>
      <c r="B91" s="22" t="s">
        <v>207</v>
      </c>
      <c r="C91" s="12" t="s">
        <v>208</v>
      </c>
      <c r="D91" s="13">
        <v>4120000</v>
      </c>
      <c r="E91" s="22"/>
      <c r="F91" s="22">
        <v>0</v>
      </c>
      <c r="G91" s="22">
        <v>0</v>
      </c>
      <c r="H91" s="22" t="s">
        <v>1</v>
      </c>
      <c r="I91" s="22"/>
      <c r="J91" s="23">
        <f t="shared" si="1"/>
        <v>0</v>
      </c>
    </row>
    <row r="92" spans="1:10">
      <c r="A92" s="17" t="s">
        <v>209</v>
      </c>
      <c r="B92" s="22" t="s">
        <v>207</v>
      </c>
      <c r="C92" s="12" t="s">
        <v>210</v>
      </c>
      <c r="D92" s="13">
        <v>4120000</v>
      </c>
      <c r="E92" s="22"/>
      <c r="F92" s="22">
        <v>0</v>
      </c>
      <c r="G92" s="22">
        <v>0</v>
      </c>
      <c r="H92" s="22" t="s">
        <v>1</v>
      </c>
      <c r="I92" s="22"/>
      <c r="J92" s="23">
        <f t="shared" si="1"/>
        <v>0</v>
      </c>
    </row>
    <row r="93" spans="1:10">
      <c r="A93" s="17" t="s">
        <v>211</v>
      </c>
      <c r="B93" s="22" t="s">
        <v>212</v>
      </c>
      <c r="C93" s="12" t="s">
        <v>213</v>
      </c>
      <c r="D93" s="13">
        <v>3470000</v>
      </c>
      <c r="E93" s="22"/>
      <c r="F93" s="22">
        <v>0</v>
      </c>
      <c r="G93" s="22">
        <v>1</v>
      </c>
      <c r="H93" s="22" t="s">
        <v>1</v>
      </c>
      <c r="I93" s="22"/>
      <c r="J93" s="23">
        <f t="shared" si="1"/>
        <v>1</v>
      </c>
    </row>
    <row r="94" spans="1:10">
      <c r="A94" s="17" t="s">
        <v>214</v>
      </c>
      <c r="B94" s="22" t="s">
        <v>212</v>
      </c>
      <c r="C94" s="12" t="s">
        <v>215</v>
      </c>
      <c r="D94" s="13">
        <v>3470000</v>
      </c>
      <c r="E94" s="22"/>
      <c r="F94" s="22">
        <v>0</v>
      </c>
      <c r="G94" s="22">
        <v>1</v>
      </c>
      <c r="H94" s="22" t="s">
        <v>1</v>
      </c>
      <c r="I94" s="22"/>
      <c r="J94" s="23">
        <f t="shared" si="1"/>
        <v>1</v>
      </c>
    </row>
    <row r="95" spans="1:10">
      <c r="A95" s="17" t="s">
        <v>216</v>
      </c>
      <c r="B95" s="22" t="s">
        <v>212</v>
      </c>
      <c r="C95" s="12" t="s">
        <v>217</v>
      </c>
      <c r="D95" s="13">
        <v>3470000</v>
      </c>
      <c r="E95" s="22"/>
      <c r="F95" s="22">
        <v>0</v>
      </c>
      <c r="G95" s="22">
        <v>1</v>
      </c>
      <c r="H95" s="22" t="s">
        <v>1</v>
      </c>
      <c r="I95" s="22"/>
      <c r="J95" s="23">
        <f t="shared" si="1"/>
        <v>1</v>
      </c>
    </row>
    <row r="96" spans="1:10">
      <c r="A96" s="17" t="s">
        <v>218</v>
      </c>
      <c r="B96" s="22" t="s">
        <v>219</v>
      </c>
      <c r="C96" s="12" t="s">
        <v>220</v>
      </c>
      <c r="D96" s="13">
        <v>5780000</v>
      </c>
      <c r="E96" s="22"/>
      <c r="F96" s="22">
        <v>0</v>
      </c>
      <c r="G96" s="22">
        <v>0</v>
      </c>
      <c r="H96" s="22" t="s">
        <v>1</v>
      </c>
      <c r="I96" s="22"/>
      <c r="J96" s="23">
        <f t="shared" si="1"/>
        <v>0</v>
      </c>
    </row>
    <row r="97" spans="1:10">
      <c r="A97" s="17" t="s">
        <v>221</v>
      </c>
      <c r="B97" s="22" t="s">
        <v>222</v>
      </c>
      <c r="C97" s="12" t="s">
        <v>223</v>
      </c>
      <c r="D97" s="13">
        <v>4950000</v>
      </c>
      <c r="E97" s="22"/>
      <c r="F97" s="22">
        <v>0</v>
      </c>
      <c r="G97" s="22">
        <v>0</v>
      </c>
      <c r="H97" s="22" t="s">
        <v>1</v>
      </c>
      <c r="I97" s="22"/>
      <c r="J97" s="23">
        <f t="shared" si="1"/>
        <v>0</v>
      </c>
    </row>
    <row r="98" spans="1:10">
      <c r="A98" s="17" t="s">
        <v>224</v>
      </c>
      <c r="B98" s="22" t="s">
        <v>225</v>
      </c>
      <c r="C98" s="12" t="s">
        <v>226</v>
      </c>
      <c r="D98" s="13">
        <v>5150000</v>
      </c>
      <c r="E98" s="22"/>
      <c r="F98" s="22">
        <v>0</v>
      </c>
      <c r="G98" s="22">
        <v>1</v>
      </c>
      <c r="H98" s="22" t="s">
        <v>1</v>
      </c>
      <c r="I98" s="22"/>
      <c r="J98" s="23">
        <f t="shared" si="1"/>
        <v>1</v>
      </c>
    </row>
    <row r="99" spans="1:10">
      <c r="A99" s="17" t="s">
        <v>227</v>
      </c>
      <c r="B99" s="22" t="s">
        <v>225</v>
      </c>
      <c r="C99" s="12" t="s">
        <v>228</v>
      </c>
      <c r="D99" s="13">
        <v>4490000</v>
      </c>
      <c r="E99" s="22"/>
      <c r="F99" s="22">
        <v>0</v>
      </c>
      <c r="G99" s="22">
        <v>1</v>
      </c>
      <c r="H99" s="22" t="s">
        <v>1</v>
      </c>
      <c r="I99" s="22"/>
      <c r="J99" s="23">
        <f t="shared" si="1"/>
        <v>1</v>
      </c>
    </row>
    <row r="100" spans="1:10">
      <c r="A100" s="17" t="s">
        <v>229</v>
      </c>
      <c r="B100" s="22" t="s">
        <v>225</v>
      </c>
      <c r="C100" s="12" t="s">
        <v>230</v>
      </c>
      <c r="D100" s="13">
        <v>4490000</v>
      </c>
      <c r="E100" s="22"/>
      <c r="F100" s="22">
        <v>0</v>
      </c>
      <c r="G100" s="22">
        <v>1</v>
      </c>
      <c r="H100" s="22" t="s">
        <v>1</v>
      </c>
      <c r="I100" s="22"/>
      <c r="J100" s="23">
        <f t="shared" si="1"/>
        <v>1</v>
      </c>
    </row>
    <row r="101" spans="1:10">
      <c r="A101" s="17" t="s">
        <v>231</v>
      </c>
      <c r="B101" s="22" t="s">
        <v>232</v>
      </c>
      <c r="C101" s="12" t="s">
        <v>233</v>
      </c>
      <c r="D101" s="13">
        <v>5350000</v>
      </c>
      <c r="E101" s="22"/>
      <c r="F101" s="22">
        <v>0</v>
      </c>
      <c r="G101" s="22">
        <v>0</v>
      </c>
      <c r="H101" s="22">
        <v>1</v>
      </c>
      <c r="I101" s="22"/>
      <c r="J101" s="23">
        <f t="shared" si="1"/>
        <v>1</v>
      </c>
    </row>
    <row r="102" spans="1:10">
      <c r="A102" s="17" t="s">
        <v>234</v>
      </c>
      <c r="B102" s="22" t="s">
        <v>232</v>
      </c>
      <c r="C102" s="12" t="s">
        <v>235</v>
      </c>
      <c r="D102" s="13">
        <v>5350000</v>
      </c>
      <c r="E102" s="22"/>
      <c r="F102" s="22">
        <v>0</v>
      </c>
      <c r="G102" s="22">
        <v>0</v>
      </c>
      <c r="H102" s="22" t="s">
        <v>1</v>
      </c>
      <c r="I102" s="22"/>
      <c r="J102" s="23">
        <f t="shared" si="1"/>
        <v>0</v>
      </c>
    </row>
    <row r="103" spans="1:10">
      <c r="A103" s="17" t="s">
        <v>236</v>
      </c>
      <c r="B103" s="22" t="s">
        <v>237</v>
      </c>
      <c r="C103" s="12" t="s">
        <v>238</v>
      </c>
      <c r="D103" s="13">
        <v>4060000</v>
      </c>
      <c r="E103" s="22"/>
      <c r="F103" s="22">
        <v>0</v>
      </c>
      <c r="G103" s="22">
        <v>0</v>
      </c>
      <c r="H103" s="22" t="s">
        <v>1</v>
      </c>
      <c r="I103" s="22"/>
      <c r="J103" s="23">
        <f t="shared" si="1"/>
        <v>0</v>
      </c>
    </row>
    <row r="104" spans="1:10">
      <c r="A104" s="17" t="s">
        <v>239</v>
      </c>
      <c r="B104" s="22" t="s">
        <v>240</v>
      </c>
      <c r="C104" s="12" t="s">
        <v>241</v>
      </c>
      <c r="D104" s="13">
        <v>4060000</v>
      </c>
      <c r="E104" s="22"/>
      <c r="F104" s="22">
        <v>0</v>
      </c>
      <c r="G104" s="22">
        <v>0</v>
      </c>
      <c r="H104" s="22" t="s">
        <v>1</v>
      </c>
      <c r="I104" s="22"/>
      <c r="J104" s="23">
        <f t="shared" si="1"/>
        <v>0</v>
      </c>
    </row>
    <row r="105" spans="1:10">
      <c r="A105" s="17" t="s">
        <v>242</v>
      </c>
      <c r="B105" s="22" t="s">
        <v>243</v>
      </c>
      <c r="C105" s="12" t="s">
        <v>244</v>
      </c>
      <c r="D105" s="13">
        <v>4920000</v>
      </c>
      <c r="E105" s="22"/>
      <c r="F105" s="22">
        <v>0</v>
      </c>
      <c r="G105" s="22">
        <v>0</v>
      </c>
      <c r="H105" s="22" t="s">
        <v>1</v>
      </c>
      <c r="I105" s="22"/>
      <c r="J105" s="23">
        <f t="shared" si="1"/>
        <v>0</v>
      </c>
    </row>
    <row r="106" spans="1:10">
      <c r="A106" s="17" t="s">
        <v>245</v>
      </c>
      <c r="B106" s="22" t="s">
        <v>246</v>
      </c>
      <c r="C106" s="12" t="s">
        <v>247</v>
      </c>
      <c r="D106" s="13">
        <v>4060000</v>
      </c>
      <c r="E106" s="22"/>
      <c r="F106" s="22">
        <v>0</v>
      </c>
      <c r="G106" s="22">
        <v>0</v>
      </c>
      <c r="H106" s="22" t="s">
        <v>1</v>
      </c>
      <c r="I106" s="22"/>
      <c r="J106" s="23">
        <f t="shared" si="1"/>
        <v>0</v>
      </c>
    </row>
    <row r="107" spans="1:10">
      <c r="A107" s="17" t="s">
        <v>248</v>
      </c>
      <c r="B107" s="22" t="s">
        <v>246</v>
      </c>
      <c r="C107" s="12" t="s">
        <v>249</v>
      </c>
      <c r="D107" s="13">
        <v>4060000</v>
      </c>
      <c r="E107" s="22"/>
      <c r="F107" s="22">
        <v>0</v>
      </c>
      <c r="G107" s="22">
        <v>0</v>
      </c>
      <c r="H107" s="22" t="s">
        <v>1</v>
      </c>
      <c r="I107" s="22"/>
      <c r="J107" s="23">
        <f t="shared" si="1"/>
        <v>0</v>
      </c>
    </row>
    <row r="108" spans="1:10">
      <c r="A108" s="17" t="s">
        <v>250</v>
      </c>
      <c r="B108" s="22" t="s">
        <v>251</v>
      </c>
      <c r="C108" s="12" t="s">
        <v>252</v>
      </c>
      <c r="D108" s="13">
        <v>4060000</v>
      </c>
      <c r="E108" s="22"/>
      <c r="F108" s="22">
        <v>0</v>
      </c>
      <c r="G108" s="22">
        <v>0</v>
      </c>
      <c r="H108" s="22" t="s">
        <v>1</v>
      </c>
      <c r="I108" s="22"/>
      <c r="J108" s="23">
        <f t="shared" si="1"/>
        <v>0</v>
      </c>
    </row>
    <row r="109" spans="1:10">
      <c r="A109" s="17" t="s">
        <v>253</v>
      </c>
      <c r="B109" s="22" t="s">
        <v>254</v>
      </c>
      <c r="C109" s="12" t="s">
        <v>255</v>
      </c>
      <c r="D109" s="13">
        <v>5350000</v>
      </c>
      <c r="E109" s="22"/>
      <c r="F109" s="22">
        <v>0</v>
      </c>
      <c r="G109" s="22">
        <v>0</v>
      </c>
      <c r="H109" s="22" t="s">
        <v>1</v>
      </c>
      <c r="I109" s="22"/>
      <c r="J109" s="23">
        <f t="shared" si="1"/>
        <v>0</v>
      </c>
    </row>
    <row r="110" spans="1:10">
      <c r="A110" s="17" t="s">
        <v>256</v>
      </c>
      <c r="B110" s="22" t="s">
        <v>254</v>
      </c>
      <c r="C110" s="12" t="s">
        <v>257</v>
      </c>
      <c r="D110" s="13">
        <v>5980000</v>
      </c>
      <c r="E110" s="22"/>
      <c r="F110" s="22">
        <v>0</v>
      </c>
      <c r="G110" s="22">
        <v>1</v>
      </c>
      <c r="H110" s="22" t="s">
        <v>1</v>
      </c>
      <c r="I110" s="22"/>
      <c r="J110" s="23">
        <f t="shared" si="1"/>
        <v>1</v>
      </c>
    </row>
    <row r="111" spans="1:10">
      <c r="A111" s="17" t="s">
        <v>258</v>
      </c>
      <c r="B111" s="22" t="s">
        <v>259</v>
      </c>
      <c r="C111" s="12" t="s">
        <v>260</v>
      </c>
      <c r="D111" s="13">
        <v>4080000</v>
      </c>
      <c r="E111" s="22"/>
      <c r="F111" s="22">
        <v>0</v>
      </c>
      <c r="G111" s="22">
        <v>0</v>
      </c>
      <c r="H111" s="22" t="s">
        <v>1</v>
      </c>
      <c r="I111" s="22"/>
      <c r="J111" s="23">
        <f t="shared" si="1"/>
        <v>0</v>
      </c>
    </row>
    <row r="112" spans="1:10">
      <c r="A112" s="17" t="s">
        <v>261</v>
      </c>
      <c r="B112" s="22" t="s">
        <v>259</v>
      </c>
      <c r="C112" s="12" t="s">
        <v>262</v>
      </c>
      <c r="D112" s="13">
        <v>4080000</v>
      </c>
      <c r="E112" s="22"/>
      <c r="F112" s="22">
        <v>0</v>
      </c>
      <c r="G112" s="22">
        <v>0</v>
      </c>
      <c r="H112" s="22">
        <v>1</v>
      </c>
      <c r="I112" s="22"/>
      <c r="J112" s="23">
        <f t="shared" si="1"/>
        <v>1</v>
      </c>
    </row>
    <row r="113" spans="1:10">
      <c r="A113" s="17" t="s">
        <v>263</v>
      </c>
      <c r="B113" s="22" t="s">
        <v>264</v>
      </c>
      <c r="C113" s="12" t="s">
        <v>265</v>
      </c>
      <c r="D113" s="13">
        <v>5350000</v>
      </c>
      <c r="E113" s="22"/>
      <c r="F113" s="22">
        <v>0</v>
      </c>
      <c r="G113" s="22">
        <v>1</v>
      </c>
      <c r="H113" s="22" t="s">
        <v>1</v>
      </c>
      <c r="I113" s="22"/>
      <c r="J113" s="23">
        <f t="shared" si="1"/>
        <v>1</v>
      </c>
    </row>
    <row r="114" spans="1:10">
      <c r="A114" s="17" t="s">
        <v>266</v>
      </c>
      <c r="B114" s="22" t="s">
        <v>267</v>
      </c>
      <c r="C114" s="12" t="s">
        <v>268</v>
      </c>
      <c r="D114" s="13">
        <v>4920000</v>
      </c>
      <c r="E114" s="22"/>
      <c r="F114" s="22">
        <v>0</v>
      </c>
      <c r="G114" s="22">
        <v>0</v>
      </c>
      <c r="H114" s="22" t="s">
        <v>1</v>
      </c>
      <c r="I114" s="22"/>
      <c r="J114" s="23">
        <f t="shared" si="1"/>
        <v>0</v>
      </c>
    </row>
    <row r="115" spans="1:10">
      <c r="A115" s="17" t="s">
        <v>269</v>
      </c>
      <c r="B115" s="22" t="s">
        <v>270</v>
      </c>
      <c r="C115" s="12" t="s">
        <v>162</v>
      </c>
      <c r="D115" s="13">
        <v>4070000</v>
      </c>
      <c r="E115" s="22"/>
      <c r="F115" s="22">
        <v>0</v>
      </c>
      <c r="G115" s="22" t="s">
        <v>1</v>
      </c>
      <c r="H115" s="22" t="s">
        <v>1</v>
      </c>
      <c r="I115" s="22"/>
      <c r="J115" s="23">
        <f t="shared" si="1"/>
        <v>0</v>
      </c>
    </row>
    <row r="116" spans="1:10">
      <c r="A116" s="17" t="s">
        <v>271</v>
      </c>
      <c r="B116" s="22" t="s">
        <v>270</v>
      </c>
      <c r="C116" s="12" t="s">
        <v>272</v>
      </c>
      <c r="D116" s="13">
        <v>4070000</v>
      </c>
      <c r="E116" s="22"/>
      <c r="F116" s="22">
        <v>0</v>
      </c>
      <c r="G116" s="22">
        <v>1</v>
      </c>
      <c r="H116" s="22" t="s">
        <v>1</v>
      </c>
      <c r="I116" s="22"/>
      <c r="J116" s="23">
        <f t="shared" si="1"/>
        <v>1</v>
      </c>
    </row>
    <row r="117" spans="1:10">
      <c r="A117" s="17" t="s">
        <v>273</v>
      </c>
      <c r="B117" s="22" t="s">
        <v>274</v>
      </c>
      <c r="C117" s="12" t="s">
        <v>275</v>
      </c>
      <c r="D117" s="13">
        <v>4990000</v>
      </c>
      <c r="E117" s="22"/>
      <c r="F117" s="22">
        <v>0</v>
      </c>
      <c r="G117" s="22">
        <v>1</v>
      </c>
      <c r="H117" s="22" t="s">
        <v>1</v>
      </c>
      <c r="I117" s="22"/>
      <c r="J117" s="23">
        <f t="shared" si="1"/>
        <v>1</v>
      </c>
    </row>
    <row r="118" spans="1:10">
      <c r="A118" s="17" t="s">
        <v>276</v>
      </c>
      <c r="B118" s="22" t="s">
        <v>277</v>
      </c>
      <c r="C118" s="12" t="s">
        <v>278</v>
      </c>
      <c r="D118" s="13">
        <v>4070000</v>
      </c>
      <c r="E118" s="22"/>
      <c r="F118" s="22">
        <v>0</v>
      </c>
      <c r="G118" s="22">
        <v>0</v>
      </c>
      <c r="H118" s="22" t="s">
        <v>1</v>
      </c>
      <c r="I118" s="22"/>
      <c r="J118" s="23">
        <f t="shared" si="1"/>
        <v>0</v>
      </c>
    </row>
    <row r="119" spans="1:10">
      <c r="A119" s="17" t="s">
        <v>279</v>
      </c>
      <c r="B119" s="22" t="s">
        <v>277</v>
      </c>
      <c r="C119" s="12" t="s">
        <v>280</v>
      </c>
      <c r="D119" s="13">
        <v>4070000</v>
      </c>
      <c r="E119" s="22"/>
      <c r="F119" s="22">
        <v>0</v>
      </c>
      <c r="G119" s="22">
        <v>0</v>
      </c>
      <c r="H119" s="22" t="s">
        <v>1</v>
      </c>
      <c r="I119" s="22"/>
      <c r="J119" s="23">
        <f t="shared" si="1"/>
        <v>0</v>
      </c>
    </row>
    <row r="120" spans="1:10">
      <c r="A120" s="17" t="s">
        <v>281</v>
      </c>
      <c r="B120" s="22" t="s">
        <v>282</v>
      </c>
      <c r="C120" s="12" t="s">
        <v>283</v>
      </c>
      <c r="D120" s="13">
        <v>4070000</v>
      </c>
      <c r="E120" s="22"/>
      <c r="F120" s="22">
        <v>0</v>
      </c>
      <c r="G120" s="22">
        <v>1</v>
      </c>
      <c r="H120" s="22" t="s">
        <v>1</v>
      </c>
      <c r="I120" s="22"/>
      <c r="J120" s="23">
        <f t="shared" si="1"/>
        <v>1</v>
      </c>
    </row>
    <row r="121" spans="1:10" ht="15.75" thickBot="1">
      <c r="A121" s="18" t="s">
        <v>284</v>
      </c>
      <c r="B121" s="24" t="s">
        <v>282</v>
      </c>
      <c r="C121" s="19" t="s">
        <v>285</v>
      </c>
      <c r="D121" s="20">
        <v>4070000</v>
      </c>
      <c r="E121" s="24"/>
      <c r="F121" s="24">
        <v>0</v>
      </c>
      <c r="G121" s="24">
        <v>1</v>
      </c>
      <c r="H121" s="24" t="s">
        <v>1</v>
      </c>
      <c r="I121" s="24"/>
      <c r="J121" s="25">
        <f t="shared" si="1"/>
        <v>1</v>
      </c>
    </row>
    <row r="122" spans="1:10" ht="15.75" thickBot="1">
      <c r="A122" s="14"/>
      <c r="B122" s="16"/>
      <c r="C122" s="16" t="s">
        <v>296</v>
      </c>
      <c r="D122" s="15"/>
      <c r="E122" s="16">
        <f>SUM(E4:E121)</f>
        <v>0</v>
      </c>
      <c r="F122" s="16">
        <f>SUM(F4:F121)</f>
        <v>2</v>
      </c>
      <c r="G122" s="16">
        <f>SUM(G4:G121)</f>
        <v>41</v>
      </c>
      <c r="H122" s="16">
        <f>SUM(H4:H121)</f>
        <v>12</v>
      </c>
      <c r="I122" s="16">
        <f>SUM(I4:I121)</f>
        <v>0</v>
      </c>
      <c r="J122" s="21">
        <f>SUM(J4:J121)</f>
        <v>55</v>
      </c>
    </row>
  </sheetData>
  <mergeCells count="2">
    <mergeCell ref="A3:J3"/>
    <mergeCell ref="A1:J1"/>
  </mergeCells>
  <pageMargins left="0.7" right="0.7" top="0.75" bottom="0.75" header="0.3" footer="0.3"/>
  <pageSetup orientation="portrait" r:id="rId1"/>
  <ignoredErrors>
    <ignoredError sqref="J4:J10 E122:J122 J119:J121 J63:J69 J84:J89" unlockedFormula="1"/>
    <ignoredError sqref="J90:J118 J11:J62 J70:J83" formulaRange="1" unlockedFormula="1"/>
    <ignoredError sqref="K90:K118" formulaRange="1"/>
    <ignoredError sqref="B4:B1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Gabungan Swarovski Sungla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2026-07-09T06:59:25Z</dcterms:created>
  <dcterms:modified xsi:type="dcterms:W3CDTF">2026-07-09T07:07:33Z</dcterms:modified>
</cp:coreProperties>
</file>